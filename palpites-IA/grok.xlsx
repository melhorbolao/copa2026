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tos\bolao-copa\palpites-IA\"/>
    </mc:Choice>
  </mc:AlternateContent>
  <xr:revisionPtr revIDLastSave="0" documentId="13_ncr:1_{031D7F76-FC2A-43E4-98CE-C5FD88210AB2}" xr6:coauthVersionLast="47" xr6:coauthVersionMax="47" xr10:uidLastSave="{00000000-0000-0000-0000-000000000000}"/>
  <workbookProtection workbookPassword="3BD1" lockStructure="1"/>
  <bookViews>
    <workbookView xWindow="-108" yWindow="-108" windowWidth="23256" windowHeight="12456" firstSheet="1" activeTab="1" xr2:uid="{00000000-000D-0000-FFFF-FFFF00000000}"/>
  </bookViews>
  <sheets>
    <sheet name="_Times" sheetId="1" state="veryHidden" r:id="rId1"/>
    <sheet name="Palpi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7" i="2" l="1"/>
</calcChain>
</file>

<file path=xl/sharedStrings.xml><?xml version="1.0" encoding="utf-8"?>
<sst xmlns="http://schemas.openxmlformats.org/spreadsheetml/2006/main" count="776" uniqueCount="224">
  <si>
    <t>Alemanha</t>
  </si>
  <si>
    <t>México</t>
  </si>
  <si>
    <t>Canadá</t>
  </si>
  <si>
    <t>Brasil</t>
  </si>
  <si>
    <t>EUA</t>
  </si>
  <si>
    <t>Holanda</t>
  </si>
  <si>
    <t>Bélgica</t>
  </si>
  <si>
    <t>Espanha</t>
  </si>
  <si>
    <t>França</t>
  </si>
  <si>
    <t>Argentina</t>
  </si>
  <si>
    <t>Portugal</t>
  </si>
  <si>
    <t>Inglaterra</t>
  </si>
  <si>
    <t>África do Sul</t>
  </si>
  <si>
    <t>Bósnia</t>
  </si>
  <si>
    <t>Marrocos</t>
  </si>
  <si>
    <t>Paraguai</t>
  </si>
  <si>
    <t>Curaçao</t>
  </si>
  <si>
    <t>Japão</t>
  </si>
  <si>
    <t>Egito</t>
  </si>
  <si>
    <t>Cabo Verde</t>
  </si>
  <si>
    <t>Senegal</t>
  </si>
  <si>
    <t>Argélia</t>
  </si>
  <si>
    <t>RD Congo</t>
  </si>
  <si>
    <t>Croácia</t>
  </si>
  <si>
    <t>Coreia do Sul</t>
  </si>
  <si>
    <t>Catar</t>
  </si>
  <si>
    <t>Haiti</t>
  </si>
  <si>
    <t>Austrália</t>
  </si>
  <si>
    <t>Costa do Marfim</t>
  </si>
  <si>
    <t>Suécia</t>
  </si>
  <si>
    <t>Irã</t>
  </si>
  <si>
    <t>Arábia Saudita</t>
  </si>
  <si>
    <t>Iraque</t>
  </si>
  <si>
    <t>Áustria</t>
  </si>
  <si>
    <t>Uzbequistão</t>
  </si>
  <si>
    <t>Gana</t>
  </si>
  <si>
    <t>Tchéquia</t>
  </si>
  <si>
    <t>Suíça</t>
  </si>
  <si>
    <t>Escócia</t>
  </si>
  <si>
    <t>Turquia</t>
  </si>
  <si>
    <t>Equador</t>
  </si>
  <si>
    <t>Tunísia</t>
  </si>
  <si>
    <t>Nova Zelândia</t>
  </si>
  <si>
    <t>Uruguai</t>
  </si>
  <si>
    <t>Noruega</t>
  </si>
  <si>
    <t>Jordânia</t>
  </si>
  <si>
    <t>Colômbia</t>
  </si>
  <si>
    <t>Panamá</t>
  </si>
  <si>
    <t>Melhor Bolão · Copa 2026 — Palpites de Alice</t>
  </si>
  <si>
    <t>Preencha apenas as células amarelas. Células cinzas estão bloqueadas (prazo encerrado).</t>
  </si>
  <si>
    <t>Chave</t>
  </si>
  <si>
    <t>Jogo</t>
  </si>
  <si>
    <t>Etapa</t>
  </si>
  <si>
    <t>Grupo</t>
  </si>
  <si>
    <t>Data/Hora</t>
  </si>
  <si>
    <t>Seleção A</t>
  </si>
  <si>
    <t>Gols A</t>
  </si>
  <si>
    <t>Gols B</t>
  </si>
  <si>
    <t>Seleção B</t>
  </si>
  <si>
    <t>Cidade</t>
  </si>
  <si>
    <t>Prazo</t>
  </si>
  <si>
    <t>Status</t>
  </si>
  <si>
    <t>RODADA 1</t>
  </si>
  <si>
    <t>6a206ecf-7165-47a6-a8de-0c8c307b54de</t>
  </si>
  <si>
    <t>R1</t>
  </si>
  <si>
    <t>A</t>
  </si>
  <si>
    <t>Cidade do México</t>
  </si>
  <si>
    <t>✏️ Editável</t>
  </si>
  <si>
    <t>9f4d9c39-aaac-47b7-98b7-fe20622931f2</t>
  </si>
  <si>
    <t>Guadalajara</t>
  </si>
  <si>
    <t>036248fb-aa0f-4c17-b28e-d0b40cf96a02</t>
  </si>
  <si>
    <t>B</t>
  </si>
  <si>
    <t>Toronto</t>
  </si>
  <si>
    <t>43ec7d23-8a4f-4e67-bbcf-05a0bcc1fa59</t>
  </si>
  <si>
    <t>D</t>
  </si>
  <si>
    <t>Los Angeles</t>
  </si>
  <si>
    <t>ffd213b1-1d8b-4292-9232-94bb7408d8a5</t>
  </si>
  <si>
    <t>São Francisco</t>
  </si>
  <si>
    <t>05f39aa4-c230-43e0-a7a6-e6a6e952402f</t>
  </si>
  <si>
    <t>C</t>
  </si>
  <si>
    <t>Nova York/Nova Jersey</t>
  </si>
  <si>
    <t>5bc94b5f-ee48-4923-a41e-df0fcd57d672</t>
  </si>
  <si>
    <t>Boston</t>
  </si>
  <si>
    <t>994bbb3e-fd53-4d9c-8b28-21152db833fb</t>
  </si>
  <si>
    <t>Vancouver</t>
  </si>
  <si>
    <t>ea386458-de1e-468f-8437-f184d9befd35</t>
  </si>
  <si>
    <t>E</t>
  </si>
  <si>
    <t>Houston</t>
  </si>
  <si>
    <t>08c285ed-ce7f-49ac-b389-eb98624c329a</t>
  </si>
  <si>
    <t>F</t>
  </si>
  <si>
    <t>Dallas</t>
  </si>
  <si>
    <t>a25c1f62-3d1d-4497-a3b8-18335fa60c2a</t>
  </si>
  <si>
    <t>Filadélfia</t>
  </si>
  <si>
    <t>4a2b0c58-680e-4caf-b082-cc0815ab346d</t>
  </si>
  <si>
    <t>Monterrey</t>
  </si>
  <si>
    <t>2f7c301d-98b7-4ea8-8c09-128bb8a63864</t>
  </si>
  <si>
    <t>H</t>
  </si>
  <si>
    <t>Atlanta</t>
  </si>
  <si>
    <t>6c0b670e-4876-45d8-aa13-6e70f2568cb5</t>
  </si>
  <si>
    <t>G</t>
  </si>
  <si>
    <t>Seattle</t>
  </si>
  <si>
    <t>888712b8-e63e-493b-9884-99946592c94f</t>
  </si>
  <si>
    <t>Miami</t>
  </si>
  <si>
    <t>3838ae36-0599-43d9-91d1-82ec21865b89</t>
  </si>
  <si>
    <t>d97de20d-3105-4a18-9685-98496ae48606</t>
  </si>
  <si>
    <t>I</t>
  </si>
  <si>
    <t>0c073ffa-c47a-4ddd-8309-01928d666fc6</t>
  </si>
  <si>
    <t>2b881b25-526f-4b98-a161-c40bef63931c</t>
  </si>
  <si>
    <t>J</t>
  </si>
  <si>
    <t>Kansas City</t>
  </si>
  <si>
    <t>8deb3cd2-2b4d-44f4-8fcd-f1e3edb51444</t>
  </si>
  <si>
    <t>389dcd7d-83b8-43d1-b110-68102b5413cb</t>
  </si>
  <si>
    <t>K</t>
  </si>
  <si>
    <t>e0456270-2056-431c-8b6b-c80513700539</t>
  </si>
  <si>
    <t>L</t>
  </si>
  <si>
    <t>aee3c0dd-03c2-4e7e-8b5d-fd2b26138213</t>
  </si>
  <si>
    <t>a62c30c0-2775-4079-9b0c-d1f510313ac7</t>
  </si>
  <si>
    <t>RODADA 2</t>
  </si>
  <si>
    <t>316c2107-d3cc-42d2-b3f6-33fbe4c27350</t>
  </si>
  <si>
    <t>R2</t>
  </si>
  <si>
    <t>dad916ad-b9c2-4928-bf9c-f5dfb2243cf6</t>
  </si>
  <si>
    <t>d935b06f-de74-424f-af47-94c3c8db32b5</t>
  </si>
  <si>
    <t>bdedcee5-019e-4231-b472-3f9cb6b6963f</t>
  </si>
  <si>
    <t>42e7b2fc-7d29-4c87-831a-6391f4794d86</t>
  </si>
  <si>
    <t>e4f0e17f-7360-43d0-b9b1-6ac0d2d96d3c</t>
  </si>
  <si>
    <t>51212a1e-83bd-48b9-9350-b687af769dd9</t>
  </si>
  <si>
    <t>f16c3102-9f33-4a87-8110-91af3c43e432</t>
  </si>
  <si>
    <t>aa7ab04d-1cca-4201-bb0a-1a144080a630</t>
  </si>
  <si>
    <t>e1ac2ac7-345d-4d06-977a-aab1a8414a09</t>
  </si>
  <si>
    <t>da0da91f-6a65-41df-b8de-e67be28fcbf6</t>
  </si>
  <si>
    <t>0ab042fa-9377-4d80-a789-0dc1c511c85d</t>
  </si>
  <si>
    <t>5b094b99-850a-4543-9659-e2869804b7f1</t>
  </si>
  <si>
    <t>dbe8dcaa-f32b-4431-8475-3d07cfe1093a</t>
  </si>
  <si>
    <t>5d63d91a-dda7-4fa3-8ccd-0d24a1c5bd60</t>
  </si>
  <si>
    <t>7c00837f-4265-4f52-9157-7c830a688ea5</t>
  </si>
  <si>
    <t>c8b2ca8f-278d-47b8-b596-6fca0da5d245</t>
  </si>
  <si>
    <t>0e439624-746b-4b05-9a6b-66b50a98cad0</t>
  </si>
  <si>
    <t>15139c9e-1df4-4ae2-ba25-bd76d4b619ca</t>
  </si>
  <si>
    <t>948b2291-14ad-494e-a8b0-1a2780292d9b</t>
  </si>
  <si>
    <t>6be70da6-d703-44db-a258-9a7a7a94b985</t>
  </si>
  <si>
    <t>ed0a354f-d0b8-4c67-8ef2-1a324f6ed930</t>
  </si>
  <si>
    <t>0773349a-1d7d-48b9-a84e-43bb16a3da3d</t>
  </si>
  <si>
    <t>69a12d70-4821-47c3-b03b-ba4312dbf52d</t>
  </si>
  <si>
    <t>RODADA 3</t>
  </si>
  <si>
    <t>87b3d692-d5d0-4b91-8d08-f7e1d3fb20c3</t>
  </si>
  <si>
    <t>R3</t>
  </si>
  <si>
    <t>9ced64d6-3c48-411f-a9c3-0871a04dfac2</t>
  </si>
  <si>
    <t>b4c70766-ac2a-409b-92ba-57c91173d80c</t>
  </si>
  <si>
    <t>bd2f2d39-31bb-4e8a-b286-fb5870ad8e11</t>
  </si>
  <si>
    <t>a1cd8798-d4d6-4a05-9152-4890cebf54ec</t>
  </si>
  <si>
    <t>af8b4491-3b02-4f2b-a1c0-af23cac7dcb8</t>
  </si>
  <si>
    <t>b4385bab-6267-4cca-94da-bf4801c14351</t>
  </si>
  <si>
    <t>0791687a-0169-4b21-ae07-b944d36a9b38</t>
  </si>
  <si>
    <t>b1e0f1fb-3629-4db7-acbd-a7c5de2e154b</t>
  </si>
  <si>
    <t>7f4a4140-a161-4f77-b7ed-a025c469e581</t>
  </si>
  <si>
    <t>d1923ba8-8d49-4695-ba19-fae65239079f</t>
  </si>
  <si>
    <t>985cce14-4cc8-4154-b0be-0b9fc68d8378</t>
  </si>
  <si>
    <t>7ca6d8cd-71a6-445b-8ab4-c8fc0b4804e8</t>
  </si>
  <si>
    <t>0f8cb4ca-9f09-458f-93cf-2a30f4e0c92e</t>
  </si>
  <si>
    <t>97edca8f-8fa3-4fda-bcff-33517824d1fc</t>
  </si>
  <si>
    <t>760f386e-8c5f-408d-a7ce-29d27b954b42</t>
  </si>
  <si>
    <t>7dd63224-4257-45df-b358-3ce330baef8b</t>
  </si>
  <si>
    <t>a666a8a3-2e5e-4b8c-9840-d4f5363ba7f5</t>
  </si>
  <si>
    <t>2e55cc09-5d8a-4be5-a58c-9c65b90ea821</t>
  </si>
  <si>
    <t>640671dd-0443-4474-85a4-efa13ad4b1d0</t>
  </si>
  <si>
    <t>86c7960d-0750-43b8-875a-982e6569dc5d</t>
  </si>
  <si>
    <t>de205908-6fac-40aa-b07b-5b56b912d8f5</t>
  </si>
  <si>
    <t>ea3d3a2f-a59a-4184-8136-8b72fdb09a93</t>
  </si>
  <si>
    <t>e55e83c1-c3ba-443e-a2b8-7a672f2cd2f4</t>
  </si>
  <si>
    <t>BÔNUS: CLASSIFICADOS POR GRUPO (1º e 2º lugar)</t>
  </si>
  <si>
    <t>1º Lugar</t>
  </si>
  <si>
    <t>2º Lugar</t>
  </si>
  <si>
    <t>grp_bet:A</t>
  </si>
  <si>
    <t>Grupo A</t>
  </si>
  <si>
    <t>Chéquia</t>
  </si>
  <si>
    <t>grp_bet:B</t>
  </si>
  <si>
    <t>Grupo B</t>
  </si>
  <si>
    <t>grp_bet:C</t>
  </si>
  <si>
    <t>Grupo C</t>
  </si>
  <si>
    <t>grp_bet:D</t>
  </si>
  <si>
    <t>Grupo D</t>
  </si>
  <si>
    <t>grp_bet:E</t>
  </si>
  <si>
    <t>Grupo E</t>
  </si>
  <si>
    <t>grp_bet:F</t>
  </si>
  <si>
    <t>Grupo F</t>
  </si>
  <si>
    <t>grp_bet:G</t>
  </si>
  <si>
    <t>Grupo G</t>
  </si>
  <si>
    <t>grp_bet:H</t>
  </si>
  <si>
    <t>Grupo H</t>
  </si>
  <si>
    <t>grp_bet:I</t>
  </si>
  <si>
    <t>Grupo I</t>
  </si>
  <si>
    <t>grp_bet:J</t>
  </si>
  <si>
    <t>Grupo J</t>
  </si>
  <si>
    <t>grp_bet:K</t>
  </si>
  <si>
    <t>Grupo K</t>
  </si>
  <si>
    <t>grp_bet:L</t>
  </si>
  <si>
    <t>Grupo L</t>
  </si>
  <si>
    <t>BÔNUS: TERCEIROS CLASSIFICADOS (escolha exatamente 8 dos 12 grupos)</t>
  </si>
  <si>
    <t>3º Lugar</t>
  </si>
  <si>
    <t>grp_3rd:A</t>
  </si>
  <si>
    <t>grp_3rd:B</t>
  </si>
  <si>
    <t>grp_3rd:C</t>
  </si>
  <si>
    <t>grp_3rd:D</t>
  </si>
  <si>
    <t>grp_3rd:E</t>
  </si>
  <si>
    <t>grp_3rd:F</t>
  </si>
  <si>
    <t>grp_3rd:G</t>
  </si>
  <si>
    <t>grp_3rd:H</t>
  </si>
  <si>
    <t>grp_3rd:I</t>
  </si>
  <si>
    <t>grp_3rd:J</t>
  </si>
  <si>
    <t>grp_3rd:K</t>
  </si>
  <si>
    <t>grp_3rd:L</t>
  </si>
  <si>
    <t>→ Preencha exatamente 8 grupos acima. Fundo vermelho = excedeu o limite.</t>
  </si>
  <si>
    <t>BÔNUS: G4 (todos devem ser diferentes)</t>
  </si>
  <si>
    <t>trn:champion</t>
  </si>
  <si>
    <t>Campeão</t>
  </si>
  <si>
    <t>trn:runner_up</t>
  </si>
  <si>
    <t>Vice-Campeão</t>
  </si>
  <si>
    <t>trn:semi1</t>
  </si>
  <si>
    <t>trn:semi2</t>
  </si>
  <si>
    <t>4º Lugar</t>
  </si>
  <si>
    <t>BÔNUS: ARTILHEIRO</t>
  </si>
  <si>
    <t>trn:scorer</t>
  </si>
  <si>
    <t>Artilheiro</t>
  </si>
  <si>
    <t>Kylian Mbappé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</si>
</sst>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h:mm"/>
  </numFmts>
  <fonts count="13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2"/>
      <color rgb="FF111827"/>
      <name val="Calibri"/>
      <family val="2"/>
    </font>
    <font>
      <b/>
      <sz val="10"/>
      <color rgb="FFFFFFFF"/>
      <name val="Calibri"/>
      <family val="2"/>
    </font>
    <font>
      <b/>
      <sz val="10"/>
      <color rgb="FF1F2937"/>
      <name val="Calibri"/>
      <family val="2"/>
    </font>
    <font>
      <sz val="10"/>
      <color rgb="FF9CA3AF"/>
      <name val="Calibri"/>
      <family val="2"/>
    </font>
    <font>
      <sz val="10"/>
      <color rgb="FF111827"/>
      <name val="Calibri"/>
      <family val="2"/>
    </font>
    <font>
      <b/>
      <sz val="11"/>
      <color rgb="FF004D1A"/>
      <name val="Calibri"/>
      <family val="2"/>
    </font>
    <font>
      <b/>
      <sz val="9"/>
      <color rgb="FF6B7280"/>
      <name val="Calibri"/>
      <family val="2"/>
    </font>
    <font>
      <b/>
      <sz val="9"/>
      <color rgb="FF065F46"/>
      <name val="Calibri"/>
      <family val="2"/>
    </font>
    <font>
      <b/>
      <sz val="10"/>
      <color rgb="FF111827"/>
      <name val="Calibri"/>
      <family val="2"/>
    </font>
    <font>
      <i/>
      <sz val="9"/>
      <color rgb="FF6B7280"/>
      <name val="Calibri"/>
      <family val="2"/>
    </font>
    <font>
      <b/>
      <sz val="9"/>
      <color rgb="FF37415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4D1A"/>
      </patternFill>
    </fill>
    <fill>
      <patternFill patternType="solid">
        <fgColor rgb="FFFDE68A"/>
      </patternFill>
    </fill>
    <fill>
      <patternFill patternType="solid">
        <fgColor rgb="FFE5E7EB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4">
    <border>
      <left/>
      <right/>
      <top/>
      <bottom/>
      <diagonal/>
    </border>
    <border>
      <left/>
      <right/>
      <top/>
      <bottom style="thin">
        <color rgb="FF4ADE80"/>
      </bottom>
      <diagonal/>
    </border>
    <border>
      <left/>
      <right/>
      <top/>
      <bottom style="hair">
        <color rgb="FFD1D5DB"/>
      </bottom>
      <diagonal/>
    </border>
    <border>
      <left style="thin">
        <color rgb="FF86EFAC"/>
      </left>
      <right style="thin">
        <color rgb="FF86EFAC"/>
      </right>
      <top style="thin">
        <color rgb="FF86EFAC"/>
      </top>
      <bottom style="thin">
        <color rgb="FF86EFA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164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right" vertical="center"/>
    </xf>
    <xf numFmtId="0" fontId="7" fillId="3" borderId="3" xfId="0" applyFont="1" applyFill="1" applyBorder="1" applyAlignment="1" applyProtection="1">
      <alignment horizontal="center" vertical="center" shrinkToFit="1"/>
      <protection locked="0"/>
    </xf>
    <xf numFmtId="0" fontId="6" fillId="6" borderId="2" xfId="0" applyFont="1" applyFill="1" applyBorder="1" applyAlignment="1">
      <alignment horizontal="left" vertical="center"/>
    </xf>
    <xf numFmtId="164" fontId="5" fillId="5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8" fillId="7" borderId="0" xfId="0" applyFont="1" applyFill="1"/>
    <xf numFmtId="0" fontId="0" fillId="7" borderId="0" xfId="0" applyFill="1"/>
    <xf numFmtId="0" fontId="9" fillId="7" borderId="0" xfId="0" applyFont="1" applyFill="1" applyAlignment="1">
      <alignment horizontal="center"/>
    </xf>
    <xf numFmtId="0" fontId="10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 shrinkToFit="1"/>
    </xf>
    <xf numFmtId="0" fontId="12" fillId="7" borderId="0" xfId="0" applyFont="1" applyFill="1" applyAlignment="1">
      <alignment horizontal="center" vertical="center"/>
    </xf>
    <xf numFmtId="0" fontId="10" fillId="6" borderId="2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left" vertical="center" indent="1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1" fillId="7" borderId="0" xfId="0" applyFont="1" applyFill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5"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FFFFFF"/>
      </font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0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9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3">
      <c r="A3" t="s">
        <v>21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</row>
    <row r="4" spans="1:13" x14ac:dyDescent="0.3">
      <c r="A4" t="s">
        <v>31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</row>
    <row r="5" spans="1:13" x14ac:dyDescent="0.3">
      <c r="A5" t="s">
        <v>27</v>
      </c>
    </row>
    <row r="6" spans="1:13" x14ac:dyDescent="0.3">
      <c r="A6" t="s">
        <v>3</v>
      </c>
    </row>
    <row r="7" spans="1:13" x14ac:dyDescent="0.3">
      <c r="A7" t="s">
        <v>6</v>
      </c>
    </row>
    <row r="8" spans="1:13" x14ac:dyDescent="0.3">
      <c r="A8" t="s">
        <v>13</v>
      </c>
    </row>
    <row r="9" spans="1:13" x14ac:dyDescent="0.3">
      <c r="A9" t="s">
        <v>19</v>
      </c>
    </row>
    <row r="10" spans="1:13" x14ac:dyDescent="0.3">
      <c r="A10" t="s">
        <v>2</v>
      </c>
    </row>
    <row r="11" spans="1:13" x14ac:dyDescent="0.3">
      <c r="A11" t="s">
        <v>25</v>
      </c>
    </row>
    <row r="12" spans="1:13" x14ac:dyDescent="0.3">
      <c r="A12" t="s">
        <v>46</v>
      </c>
    </row>
    <row r="13" spans="1:13" x14ac:dyDescent="0.3">
      <c r="A13" t="s">
        <v>24</v>
      </c>
    </row>
    <row r="14" spans="1:13" x14ac:dyDescent="0.3">
      <c r="A14" t="s">
        <v>28</v>
      </c>
    </row>
    <row r="15" spans="1:13" x14ac:dyDescent="0.3">
      <c r="A15" t="s">
        <v>23</v>
      </c>
    </row>
    <row r="16" spans="1:13" x14ac:dyDescent="0.3">
      <c r="A16" t="s">
        <v>16</v>
      </c>
    </row>
    <row r="17" spans="1:1" x14ac:dyDescent="0.3">
      <c r="A17" t="s">
        <v>4</v>
      </c>
    </row>
    <row r="18" spans="1:1" x14ac:dyDescent="0.3">
      <c r="A18" t="s">
        <v>18</v>
      </c>
    </row>
    <row r="19" spans="1:1" x14ac:dyDescent="0.3">
      <c r="A19" t="s">
        <v>40</v>
      </c>
    </row>
    <row r="20" spans="1:1" x14ac:dyDescent="0.3">
      <c r="A20" t="s">
        <v>38</v>
      </c>
    </row>
    <row r="21" spans="1:1" x14ac:dyDescent="0.3">
      <c r="A21" t="s">
        <v>7</v>
      </c>
    </row>
    <row r="22" spans="1:1" x14ac:dyDescent="0.3">
      <c r="A22" t="s">
        <v>8</v>
      </c>
    </row>
    <row r="23" spans="1:1" x14ac:dyDescent="0.3">
      <c r="A23" t="s">
        <v>35</v>
      </c>
    </row>
    <row r="24" spans="1:1" x14ac:dyDescent="0.3">
      <c r="A24" t="s">
        <v>26</v>
      </c>
    </row>
    <row r="25" spans="1:1" x14ac:dyDescent="0.3">
      <c r="A25" t="s">
        <v>5</v>
      </c>
    </row>
    <row r="26" spans="1:1" x14ac:dyDescent="0.3">
      <c r="A26" t="s">
        <v>11</v>
      </c>
    </row>
    <row r="27" spans="1:1" x14ac:dyDescent="0.3">
      <c r="A27" t="s">
        <v>32</v>
      </c>
    </row>
    <row r="28" spans="1:1" x14ac:dyDescent="0.3">
      <c r="A28" t="s">
        <v>30</v>
      </c>
    </row>
    <row r="29" spans="1:1" x14ac:dyDescent="0.3">
      <c r="A29" t="s">
        <v>17</v>
      </c>
    </row>
    <row r="30" spans="1:1" x14ac:dyDescent="0.3">
      <c r="A30" t="s">
        <v>45</v>
      </c>
    </row>
    <row r="31" spans="1:1" x14ac:dyDescent="0.3">
      <c r="A31" t="s">
        <v>14</v>
      </c>
    </row>
    <row r="32" spans="1:1" x14ac:dyDescent="0.3">
      <c r="A32" t="s">
        <v>1</v>
      </c>
    </row>
    <row r="33" spans="1:1" x14ac:dyDescent="0.3">
      <c r="A33" t="s">
        <v>44</v>
      </c>
    </row>
    <row r="34" spans="1:1" x14ac:dyDescent="0.3">
      <c r="A34" t="s">
        <v>42</v>
      </c>
    </row>
    <row r="35" spans="1:1" x14ac:dyDescent="0.3">
      <c r="A35" t="s">
        <v>47</v>
      </c>
    </row>
    <row r="36" spans="1:1" x14ac:dyDescent="0.3">
      <c r="A36" t="s">
        <v>15</v>
      </c>
    </row>
    <row r="37" spans="1:1" x14ac:dyDescent="0.3">
      <c r="A37" t="s">
        <v>10</v>
      </c>
    </row>
    <row r="38" spans="1:1" x14ac:dyDescent="0.3">
      <c r="A38" t="s">
        <v>22</v>
      </c>
    </row>
    <row r="39" spans="1:1" x14ac:dyDescent="0.3">
      <c r="A39" t="s">
        <v>20</v>
      </c>
    </row>
    <row r="40" spans="1:1" x14ac:dyDescent="0.3">
      <c r="A40" t="s">
        <v>29</v>
      </c>
    </row>
    <row r="41" spans="1:1" x14ac:dyDescent="0.3">
      <c r="A41" t="s">
        <v>37</v>
      </c>
    </row>
    <row r="42" spans="1:1" x14ac:dyDescent="0.3">
      <c r="A42" t="s">
        <v>36</v>
      </c>
    </row>
    <row r="43" spans="1:1" x14ac:dyDescent="0.3">
      <c r="A43" t="s">
        <v>41</v>
      </c>
    </row>
    <row r="44" spans="1:1" x14ac:dyDescent="0.3">
      <c r="A44" t="s">
        <v>39</v>
      </c>
    </row>
    <row r="45" spans="1:1" x14ac:dyDescent="0.3">
      <c r="A45" t="s">
        <v>43</v>
      </c>
    </row>
    <row r="46" spans="1:1" x14ac:dyDescent="0.3">
      <c r="A46" t="s">
        <v>34</v>
      </c>
    </row>
    <row r="47" spans="1:1" x14ac:dyDescent="0.3">
      <c r="A47" t="s">
        <v>12</v>
      </c>
    </row>
    <row r="48" spans="1:1" x14ac:dyDescent="0.3">
      <c r="A48" t="s">
        <v>33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9C3B"/>
  </sheetPr>
  <dimension ref="A1:L114"/>
  <sheetViews>
    <sheetView tabSelected="1" topLeftCell="B1" workbookViewId="0">
      <pane ySplit="3" topLeftCell="A100" activePane="bottomLeft" state="frozen"/>
      <selection pane="bottomLeft" activeCell="G114" sqref="G114"/>
    </sheetView>
  </sheetViews>
  <sheetFormatPr defaultRowHeight="14.4" x14ac:dyDescent="0.3"/>
  <cols>
    <col min="1" max="1" width="16" hidden="1" customWidth="1"/>
    <col min="2" max="2" width="14" customWidth="1"/>
    <col min="3" max="3" width="10" customWidth="1"/>
    <col min="4" max="4" width="8" customWidth="1"/>
    <col min="5" max="5" width="18" customWidth="1"/>
    <col min="6" max="6" width="22" customWidth="1"/>
    <col min="7" max="8" width="18" customWidth="1"/>
    <col min="9" max="9" width="22" customWidth="1"/>
    <col min="10" max="11" width="18" customWidth="1"/>
    <col min="12" max="12" width="14" customWidth="1"/>
  </cols>
  <sheetData>
    <row r="1" spans="1:12" ht="22.05" customHeight="1" x14ac:dyDescent="0.3">
      <c r="A1" s="21" t="s">
        <v>48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22.05" customHeight="1" x14ac:dyDescent="0.3">
      <c r="A2" s="19" t="s">
        <v>49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8" customHeight="1" x14ac:dyDescent="0.3">
      <c r="A3" s="1" t="s">
        <v>50</v>
      </c>
      <c r="B3" s="1" t="s">
        <v>51</v>
      </c>
      <c r="C3" s="1" t="s">
        <v>52</v>
      </c>
      <c r="D3" s="1" t="s">
        <v>53</v>
      </c>
      <c r="E3" s="1" t="s">
        <v>54</v>
      </c>
      <c r="F3" s="1" t="s">
        <v>55</v>
      </c>
      <c r="G3" s="1" t="s">
        <v>56</v>
      </c>
      <c r="H3" s="1" t="s">
        <v>57</v>
      </c>
      <c r="I3" s="1" t="s">
        <v>58</v>
      </c>
      <c r="J3" s="1" t="s">
        <v>59</v>
      </c>
      <c r="K3" s="1" t="s">
        <v>60</v>
      </c>
      <c r="L3" s="1" t="s">
        <v>61</v>
      </c>
    </row>
    <row r="4" spans="1:12" ht="15" customHeight="1" x14ac:dyDescent="0.3">
      <c r="A4" s="17" t="s">
        <v>62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</row>
    <row r="5" spans="1:12" ht="18" customHeight="1" x14ac:dyDescent="0.3">
      <c r="A5" s="2" t="s">
        <v>63</v>
      </c>
      <c r="B5" s="3">
        <v>1</v>
      </c>
      <c r="C5" s="3" t="s">
        <v>64</v>
      </c>
      <c r="D5" s="3" t="s">
        <v>65</v>
      </c>
      <c r="E5" s="4">
        <v>46184.666666666657</v>
      </c>
      <c r="F5" s="5" t="s">
        <v>1</v>
      </c>
      <c r="G5" s="6">
        <v>1</v>
      </c>
      <c r="H5" s="6">
        <v>0</v>
      </c>
      <c r="I5" s="7" t="s">
        <v>12</v>
      </c>
      <c r="J5" s="3" t="s">
        <v>66</v>
      </c>
      <c r="K5" s="8">
        <v>46183.999305555553</v>
      </c>
      <c r="L5" s="2" t="s">
        <v>67</v>
      </c>
    </row>
    <row r="6" spans="1:12" ht="18" customHeight="1" x14ac:dyDescent="0.3">
      <c r="A6" s="2" t="s">
        <v>68</v>
      </c>
      <c r="B6" s="3">
        <v>2</v>
      </c>
      <c r="C6" s="3" t="s">
        <v>64</v>
      </c>
      <c r="D6" s="3" t="s">
        <v>65</v>
      </c>
      <c r="E6" s="4">
        <v>46184.958333333343</v>
      </c>
      <c r="F6" s="5" t="s">
        <v>24</v>
      </c>
      <c r="G6" s="6">
        <v>1</v>
      </c>
      <c r="H6" s="6">
        <v>1</v>
      </c>
      <c r="I6" s="7" t="s">
        <v>36</v>
      </c>
      <c r="J6" s="3" t="s">
        <v>69</v>
      </c>
      <c r="K6" s="8">
        <v>46183.999305555553</v>
      </c>
      <c r="L6" s="2" t="s">
        <v>67</v>
      </c>
    </row>
    <row r="7" spans="1:12" ht="18" customHeight="1" x14ac:dyDescent="0.3">
      <c r="A7" s="2" t="s">
        <v>70</v>
      </c>
      <c r="B7" s="3">
        <v>3</v>
      </c>
      <c r="C7" s="3" t="s">
        <v>64</v>
      </c>
      <c r="D7" s="3" t="s">
        <v>71</v>
      </c>
      <c r="E7" s="4">
        <v>46185.666666666657</v>
      </c>
      <c r="F7" s="5" t="s">
        <v>2</v>
      </c>
      <c r="G7" s="6">
        <v>0</v>
      </c>
      <c r="H7" s="6">
        <v>1</v>
      </c>
      <c r="I7" s="7" t="s">
        <v>13</v>
      </c>
      <c r="J7" s="3" t="s">
        <v>72</v>
      </c>
      <c r="K7" s="8">
        <v>46183.999305555553</v>
      </c>
      <c r="L7" s="2" t="s">
        <v>67</v>
      </c>
    </row>
    <row r="8" spans="1:12" ht="18" customHeight="1" x14ac:dyDescent="0.3">
      <c r="A8" s="2" t="s">
        <v>73</v>
      </c>
      <c r="B8" s="3">
        <v>4</v>
      </c>
      <c r="C8" s="3" t="s">
        <v>64</v>
      </c>
      <c r="D8" s="3" t="s">
        <v>74</v>
      </c>
      <c r="E8" s="4">
        <v>46185.916666666657</v>
      </c>
      <c r="F8" s="5" t="s">
        <v>4</v>
      </c>
      <c r="G8" s="6">
        <v>2</v>
      </c>
      <c r="H8" s="6">
        <v>1</v>
      </c>
      <c r="I8" s="7" t="s">
        <v>15</v>
      </c>
      <c r="J8" s="3" t="s">
        <v>75</v>
      </c>
      <c r="K8" s="8">
        <v>46183.999305555553</v>
      </c>
      <c r="L8" s="2" t="s">
        <v>67</v>
      </c>
    </row>
    <row r="9" spans="1:12" ht="18" customHeight="1" x14ac:dyDescent="0.3">
      <c r="A9" s="2" t="s">
        <v>76</v>
      </c>
      <c r="B9" s="3">
        <v>8</v>
      </c>
      <c r="C9" s="3" t="s">
        <v>64</v>
      </c>
      <c r="D9" s="3" t="s">
        <v>71</v>
      </c>
      <c r="E9" s="4">
        <v>46186.666666666657</v>
      </c>
      <c r="F9" s="5" t="s">
        <v>25</v>
      </c>
      <c r="G9" s="6">
        <v>1</v>
      </c>
      <c r="H9" s="6">
        <v>2</v>
      </c>
      <c r="I9" s="7" t="s">
        <v>37</v>
      </c>
      <c r="J9" s="3" t="s">
        <v>77</v>
      </c>
      <c r="K9" s="8">
        <v>46183.999305555553</v>
      </c>
      <c r="L9" s="2" t="s">
        <v>67</v>
      </c>
    </row>
    <row r="10" spans="1:12" ht="18" customHeight="1" x14ac:dyDescent="0.3">
      <c r="A10" s="2" t="s">
        <v>78</v>
      </c>
      <c r="B10" s="3">
        <v>7</v>
      </c>
      <c r="C10" s="3" t="s">
        <v>64</v>
      </c>
      <c r="D10" s="3" t="s">
        <v>79</v>
      </c>
      <c r="E10" s="4">
        <v>46186.791666666657</v>
      </c>
      <c r="F10" s="5" t="s">
        <v>3</v>
      </c>
      <c r="G10" s="6">
        <v>3</v>
      </c>
      <c r="H10" s="6">
        <v>0</v>
      </c>
      <c r="I10" s="7" t="s">
        <v>14</v>
      </c>
      <c r="J10" s="3" t="s">
        <v>80</v>
      </c>
      <c r="K10" s="8">
        <v>46183.999305555553</v>
      </c>
      <c r="L10" s="2" t="s">
        <v>67</v>
      </c>
    </row>
    <row r="11" spans="1:12" ht="18" customHeight="1" x14ac:dyDescent="0.3">
      <c r="A11" s="2" t="s">
        <v>81</v>
      </c>
      <c r="B11" s="3">
        <v>5</v>
      </c>
      <c r="C11" s="3" t="s">
        <v>64</v>
      </c>
      <c r="D11" s="3" t="s">
        <v>79</v>
      </c>
      <c r="E11" s="4">
        <v>46186.916666666657</v>
      </c>
      <c r="F11" s="5" t="s">
        <v>26</v>
      </c>
      <c r="G11" s="6">
        <v>2</v>
      </c>
      <c r="H11" s="6">
        <v>1</v>
      </c>
      <c r="I11" s="7" t="s">
        <v>38</v>
      </c>
      <c r="J11" s="3" t="s">
        <v>82</v>
      </c>
      <c r="K11" s="8">
        <v>46183.999305555553</v>
      </c>
      <c r="L11" s="2" t="s">
        <v>67</v>
      </c>
    </row>
    <row r="12" spans="1:12" ht="18" customHeight="1" x14ac:dyDescent="0.3">
      <c r="A12" s="2" t="s">
        <v>83</v>
      </c>
      <c r="B12" s="3">
        <v>6</v>
      </c>
      <c r="C12" s="3" t="s">
        <v>64</v>
      </c>
      <c r="D12" s="3" t="s">
        <v>74</v>
      </c>
      <c r="E12" s="4">
        <v>46187.041666666657</v>
      </c>
      <c r="F12" s="5" t="s">
        <v>27</v>
      </c>
      <c r="G12" s="6">
        <v>1</v>
      </c>
      <c r="H12" s="6">
        <v>1</v>
      </c>
      <c r="I12" s="7" t="s">
        <v>39</v>
      </c>
      <c r="J12" s="3" t="s">
        <v>84</v>
      </c>
      <c r="K12" s="8">
        <v>46183.999305555553</v>
      </c>
      <c r="L12" s="2" t="s">
        <v>67</v>
      </c>
    </row>
    <row r="13" spans="1:12" ht="18" customHeight="1" x14ac:dyDescent="0.3">
      <c r="A13" s="2" t="s">
        <v>85</v>
      </c>
      <c r="B13" s="3">
        <v>10</v>
      </c>
      <c r="C13" s="3" t="s">
        <v>64</v>
      </c>
      <c r="D13" s="3" t="s">
        <v>86</v>
      </c>
      <c r="E13" s="4">
        <v>46187.583333333343</v>
      </c>
      <c r="F13" s="5" t="s">
        <v>0</v>
      </c>
      <c r="G13" s="6">
        <v>2</v>
      </c>
      <c r="H13" s="6">
        <v>0</v>
      </c>
      <c r="I13" s="7" t="s">
        <v>16</v>
      </c>
      <c r="J13" s="3" t="s">
        <v>87</v>
      </c>
      <c r="K13" s="8">
        <v>46183.999305555553</v>
      </c>
      <c r="L13" s="2" t="s">
        <v>67</v>
      </c>
    </row>
    <row r="14" spans="1:12" ht="18" customHeight="1" x14ac:dyDescent="0.3">
      <c r="A14" s="2" t="s">
        <v>88</v>
      </c>
      <c r="B14" s="3">
        <v>11</v>
      </c>
      <c r="C14" s="3" t="s">
        <v>64</v>
      </c>
      <c r="D14" s="3" t="s">
        <v>89</v>
      </c>
      <c r="E14" s="4">
        <v>46187.708333333343</v>
      </c>
      <c r="F14" s="5" t="s">
        <v>5</v>
      </c>
      <c r="G14" s="6">
        <v>1</v>
      </c>
      <c r="H14" s="6">
        <v>1</v>
      </c>
      <c r="I14" s="7" t="s">
        <v>17</v>
      </c>
      <c r="J14" s="3" t="s">
        <v>90</v>
      </c>
      <c r="K14" s="8">
        <v>46183.999305555553</v>
      </c>
      <c r="L14" s="2" t="s">
        <v>67</v>
      </c>
    </row>
    <row r="15" spans="1:12" ht="18" customHeight="1" x14ac:dyDescent="0.3">
      <c r="A15" s="2" t="s">
        <v>91</v>
      </c>
      <c r="B15" s="3">
        <v>9</v>
      </c>
      <c r="C15" s="3" t="s">
        <v>64</v>
      </c>
      <c r="D15" s="3" t="s">
        <v>86</v>
      </c>
      <c r="E15" s="4">
        <v>46187.833333333343</v>
      </c>
      <c r="F15" s="5" t="s">
        <v>28</v>
      </c>
      <c r="G15" s="6">
        <v>2</v>
      </c>
      <c r="H15" s="6">
        <v>1</v>
      </c>
      <c r="I15" s="7" t="s">
        <v>40</v>
      </c>
      <c r="J15" s="3" t="s">
        <v>92</v>
      </c>
      <c r="K15" s="8">
        <v>46183.999305555553</v>
      </c>
      <c r="L15" s="2" t="s">
        <v>67</v>
      </c>
    </row>
    <row r="16" spans="1:12" ht="18" customHeight="1" x14ac:dyDescent="0.3">
      <c r="A16" s="2" t="s">
        <v>93</v>
      </c>
      <c r="B16" s="3">
        <v>12</v>
      </c>
      <c r="C16" s="3" t="s">
        <v>64</v>
      </c>
      <c r="D16" s="3" t="s">
        <v>89</v>
      </c>
      <c r="E16" s="4">
        <v>46187.958333333343</v>
      </c>
      <c r="F16" s="5" t="s">
        <v>29</v>
      </c>
      <c r="G16" s="6">
        <v>1</v>
      </c>
      <c r="H16" s="6">
        <v>0</v>
      </c>
      <c r="I16" s="7" t="s">
        <v>41</v>
      </c>
      <c r="J16" s="3" t="s">
        <v>94</v>
      </c>
      <c r="K16" s="8">
        <v>46183.999305555553</v>
      </c>
      <c r="L16" s="2" t="s">
        <v>67</v>
      </c>
    </row>
    <row r="17" spans="1:12" ht="18" customHeight="1" x14ac:dyDescent="0.3">
      <c r="A17" s="2" t="s">
        <v>95</v>
      </c>
      <c r="B17" s="3">
        <v>14</v>
      </c>
      <c r="C17" s="3" t="s">
        <v>64</v>
      </c>
      <c r="D17" s="3" t="s">
        <v>96</v>
      </c>
      <c r="E17" s="4">
        <v>46188.541666666657</v>
      </c>
      <c r="F17" s="5" t="s">
        <v>7</v>
      </c>
      <c r="G17" s="6">
        <v>3</v>
      </c>
      <c r="H17" s="6">
        <v>1</v>
      </c>
      <c r="I17" s="7" t="s">
        <v>19</v>
      </c>
      <c r="J17" s="3" t="s">
        <v>97</v>
      </c>
      <c r="K17" s="8">
        <v>46183.999305555553</v>
      </c>
      <c r="L17" s="2" t="s">
        <v>67</v>
      </c>
    </row>
    <row r="18" spans="1:12" ht="18" customHeight="1" x14ac:dyDescent="0.3">
      <c r="A18" s="2" t="s">
        <v>98</v>
      </c>
      <c r="B18" s="3">
        <v>16</v>
      </c>
      <c r="C18" s="3" t="s">
        <v>64</v>
      </c>
      <c r="D18" s="3" t="s">
        <v>99</v>
      </c>
      <c r="E18" s="4">
        <v>46188.666666666657</v>
      </c>
      <c r="F18" s="5" t="s">
        <v>6</v>
      </c>
      <c r="G18" s="6">
        <v>2</v>
      </c>
      <c r="H18" s="6">
        <v>0</v>
      </c>
      <c r="I18" s="7" t="s">
        <v>18</v>
      </c>
      <c r="J18" s="3" t="s">
        <v>100</v>
      </c>
      <c r="K18" s="8">
        <v>46183.999305555553</v>
      </c>
      <c r="L18" s="2" t="s">
        <v>67</v>
      </c>
    </row>
    <row r="19" spans="1:12" ht="18" customHeight="1" x14ac:dyDescent="0.3">
      <c r="A19" s="2" t="s">
        <v>101</v>
      </c>
      <c r="B19" s="3">
        <v>13</v>
      </c>
      <c r="C19" s="3" t="s">
        <v>64</v>
      </c>
      <c r="D19" s="3" t="s">
        <v>96</v>
      </c>
      <c r="E19" s="4">
        <v>46188.791666666657</v>
      </c>
      <c r="F19" s="5" t="s">
        <v>31</v>
      </c>
      <c r="G19" s="6">
        <v>0</v>
      </c>
      <c r="H19" s="6">
        <v>0</v>
      </c>
      <c r="I19" s="7" t="s">
        <v>43</v>
      </c>
      <c r="J19" s="3" t="s">
        <v>102</v>
      </c>
      <c r="K19" s="8">
        <v>46183.999305555553</v>
      </c>
      <c r="L19" s="2" t="s">
        <v>67</v>
      </c>
    </row>
    <row r="20" spans="1:12" ht="18" customHeight="1" x14ac:dyDescent="0.3">
      <c r="A20" s="2" t="s">
        <v>103</v>
      </c>
      <c r="B20" s="3">
        <v>15</v>
      </c>
      <c r="C20" s="3" t="s">
        <v>64</v>
      </c>
      <c r="D20" s="3" t="s">
        <v>99</v>
      </c>
      <c r="E20" s="4">
        <v>46188.916666666657</v>
      </c>
      <c r="F20" s="5" t="s">
        <v>30</v>
      </c>
      <c r="G20" s="6">
        <v>1</v>
      </c>
      <c r="H20" s="6">
        <v>1</v>
      </c>
      <c r="I20" s="7" t="s">
        <v>42</v>
      </c>
      <c r="J20" s="3" t="s">
        <v>75</v>
      </c>
      <c r="K20" s="8">
        <v>46183.999305555553</v>
      </c>
      <c r="L20" s="2" t="s">
        <v>67</v>
      </c>
    </row>
    <row r="21" spans="1:12" ht="18" customHeight="1" x14ac:dyDescent="0.3">
      <c r="A21" s="2" t="s">
        <v>104</v>
      </c>
      <c r="B21" s="3">
        <v>17</v>
      </c>
      <c r="C21" s="3" t="s">
        <v>64</v>
      </c>
      <c r="D21" s="3" t="s">
        <v>105</v>
      </c>
      <c r="E21" s="4">
        <v>46189.666666666657</v>
      </c>
      <c r="F21" s="5" t="s">
        <v>8</v>
      </c>
      <c r="G21" s="6">
        <v>2</v>
      </c>
      <c r="H21" s="6">
        <v>1</v>
      </c>
      <c r="I21" s="7" t="s">
        <v>20</v>
      </c>
      <c r="J21" s="3" t="s">
        <v>80</v>
      </c>
      <c r="K21" s="8">
        <v>46183.999305555553</v>
      </c>
      <c r="L21" s="2" t="s">
        <v>67</v>
      </c>
    </row>
    <row r="22" spans="1:12" ht="18" customHeight="1" x14ac:dyDescent="0.3">
      <c r="A22" s="2" t="s">
        <v>106</v>
      </c>
      <c r="B22" s="3">
        <v>18</v>
      </c>
      <c r="C22" s="3" t="s">
        <v>64</v>
      </c>
      <c r="D22" s="3" t="s">
        <v>105</v>
      </c>
      <c r="E22" s="4">
        <v>46189.791666666657</v>
      </c>
      <c r="F22" s="5" t="s">
        <v>32</v>
      </c>
      <c r="G22" s="6">
        <v>1</v>
      </c>
      <c r="H22" s="6">
        <v>0</v>
      </c>
      <c r="I22" s="7" t="s">
        <v>44</v>
      </c>
      <c r="J22" s="3" t="s">
        <v>82</v>
      </c>
      <c r="K22" s="8">
        <v>46183.999305555553</v>
      </c>
      <c r="L22" s="2" t="s">
        <v>67</v>
      </c>
    </row>
    <row r="23" spans="1:12" ht="18" customHeight="1" x14ac:dyDescent="0.3">
      <c r="A23" s="2" t="s">
        <v>107</v>
      </c>
      <c r="B23" s="3">
        <v>19</v>
      </c>
      <c r="C23" s="3" t="s">
        <v>64</v>
      </c>
      <c r="D23" s="3" t="s">
        <v>108</v>
      </c>
      <c r="E23" s="4">
        <v>46189.916666666657</v>
      </c>
      <c r="F23" s="5" t="s">
        <v>9</v>
      </c>
      <c r="G23" s="6">
        <v>3</v>
      </c>
      <c r="H23" s="6">
        <v>0</v>
      </c>
      <c r="I23" s="7" t="s">
        <v>21</v>
      </c>
      <c r="J23" s="3" t="s">
        <v>109</v>
      </c>
      <c r="K23" s="8">
        <v>46183.999305555553</v>
      </c>
      <c r="L23" s="2" t="s">
        <v>67</v>
      </c>
    </row>
    <row r="24" spans="1:12" ht="18" customHeight="1" x14ac:dyDescent="0.3">
      <c r="A24" s="2" t="s">
        <v>110</v>
      </c>
      <c r="B24" s="3">
        <v>20</v>
      </c>
      <c r="C24" s="3" t="s">
        <v>64</v>
      </c>
      <c r="D24" s="3" t="s">
        <v>108</v>
      </c>
      <c r="E24" s="4">
        <v>46190.041666666657</v>
      </c>
      <c r="F24" s="5" t="s">
        <v>33</v>
      </c>
      <c r="G24" s="6">
        <v>1</v>
      </c>
      <c r="H24" s="6">
        <v>1</v>
      </c>
      <c r="I24" s="7" t="s">
        <v>45</v>
      </c>
      <c r="J24" s="3" t="s">
        <v>77</v>
      </c>
      <c r="K24" s="8">
        <v>46183.999305555553</v>
      </c>
      <c r="L24" s="2" t="s">
        <v>67</v>
      </c>
    </row>
    <row r="25" spans="1:12" ht="18" customHeight="1" x14ac:dyDescent="0.3">
      <c r="A25" s="2" t="s">
        <v>111</v>
      </c>
      <c r="B25" s="3">
        <v>23</v>
      </c>
      <c r="C25" s="3" t="s">
        <v>64</v>
      </c>
      <c r="D25" s="3" t="s">
        <v>112</v>
      </c>
      <c r="E25" s="4">
        <v>46190.583333333343</v>
      </c>
      <c r="F25" s="5" t="s">
        <v>10</v>
      </c>
      <c r="G25" s="6">
        <v>2</v>
      </c>
      <c r="H25" s="6">
        <v>1</v>
      </c>
      <c r="I25" s="7" t="s">
        <v>22</v>
      </c>
      <c r="J25" s="3" t="s">
        <v>87</v>
      </c>
      <c r="K25" s="8">
        <v>46183.999305555553</v>
      </c>
      <c r="L25" s="2" t="s">
        <v>67</v>
      </c>
    </row>
    <row r="26" spans="1:12" ht="18" customHeight="1" x14ac:dyDescent="0.3">
      <c r="A26" s="2" t="s">
        <v>113</v>
      </c>
      <c r="B26" s="3">
        <v>22</v>
      </c>
      <c r="C26" s="3" t="s">
        <v>64</v>
      </c>
      <c r="D26" s="3" t="s">
        <v>114</v>
      </c>
      <c r="E26" s="4">
        <v>46190.708333333343</v>
      </c>
      <c r="F26" s="5" t="s">
        <v>11</v>
      </c>
      <c r="G26" s="6">
        <v>1</v>
      </c>
      <c r="H26" s="6">
        <v>1</v>
      </c>
      <c r="I26" s="7" t="s">
        <v>23</v>
      </c>
      <c r="J26" s="3" t="s">
        <v>90</v>
      </c>
      <c r="K26" s="8">
        <v>46183.999305555553</v>
      </c>
      <c r="L26" s="2" t="s">
        <v>67</v>
      </c>
    </row>
    <row r="27" spans="1:12" ht="18" customHeight="1" x14ac:dyDescent="0.3">
      <c r="A27" s="2" t="s">
        <v>115</v>
      </c>
      <c r="B27" s="3">
        <v>21</v>
      </c>
      <c r="C27" s="3" t="s">
        <v>64</v>
      </c>
      <c r="D27" s="3" t="s">
        <v>114</v>
      </c>
      <c r="E27" s="4">
        <v>46190.833333333343</v>
      </c>
      <c r="F27" s="5" t="s">
        <v>35</v>
      </c>
      <c r="G27" s="6">
        <v>0</v>
      </c>
      <c r="H27" s="6">
        <v>1</v>
      </c>
      <c r="I27" s="7" t="s">
        <v>47</v>
      </c>
      <c r="J27" s="3" t="s">
        <v>72</v>
      </c>
      <c r="K27" s="8">
        <v>46183.999305555553</v>
      </c>
      <c r="L27" s="2" t="s">
        <v>67</v>
      </c>
    </row>
    <row r="28" spans="1:12" ht="18" customHeight="1" x14ac:dyDescent="0.3">
      <c r="A28" s="2" t="s">
        <v>116</v>
      </c>
      <c r="B28" s="3">
        <v>24</v>
      </c>
      <c r="C28" s="3" t="s">
        <v>64</v>
      </c>
      <c r="D28" s="3" t="s">
        <v>112</v>
      </c>
      <c r="E28" s="4">
        <v>46190.958333333343</v>
      </c>
      <c r="F28" s="5" t="s">
        <v>34</v>
      </c>
      <c r="G28" s="6">
        <v>2</v>
      </c>
      <c r="H28" s="6">
        <v>1</v>
      </c>
      <c r="I28" s="7" t="s">
        <v>46</v>
      </c>
      <c r="J28" s="3" t="s">
        <v>66</v>
      </c>
      <c r="K28" s="8">
        <v>46183.999305555553</v>
      </c>
      <c r="L28" s="2" t="s">
        <v>67</v>
      </c>
    </row>
    <row r="29" spans="1:12" ht="15" customHeight="1" x14ac:dyDescent="0.3">
      <c r="A29" s="17" t="s">
        <v>117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</row>
    <row r="30" spans="1:12" ht="18" customHeight="1" x14ac:dyDescent="0.3">
      <c r="A30" s="2" t="s">
        <v>118</v>
      </c>
      <c r="B30" s="3">
        <v>25</v>
      </c>
      <c r="C30" s="3" t="s">
        <v>119</v>
      </c>
      <c r="D30" s="3" t="s">
        <v>65</v>
      </c>
      <c r="E30" s="4">
        <v>46191.541666666657</v>
      </c>
      <c r="F30" s="5" t="s">
        <v>36</v>
      </c>
      <c r="G30" s="6">
        <v>1</v>
      </c>
      <c r="H30" s="6">
        <v>1</v>
      </c>
      <c r="I30" s="7" t="s">
        <v>12</v>
      </c>
      <c r="J30" s="3" t="s">
        <v>97</v>
      </c>
      <c r="K30" s="8">
        <v>46190.999305555553</v>
      </c>
      <c r="L30" s="2" t="s">
        <v>67</v>
      </c>
    </row>
    <row r="31" spans="1:12" ht="18" customHeight="1" x14ac:dyDescent="0.3">
      <c r="A31" s="2" t="s">
        <v>120</v>
      </c>
      <c r="B31" s="3">
        <v>26</v>
      </c>
      <c r="C31" s="3" t="s">
        <v>119</v>
      </c>
      <c r="D31" s="3" t="s">
        <v>71</v>
      </c>
      <c r="E31" s="4">
        <v>46191.666666666657</v>
      </c>
      <c r="F31" s="5" t="s">
        <v>37</v>
      </c>
      <c r="G31" s="6">
        <v>2</v>
      </c>
      <c r="H31" s="6">
        <v>0</v>
      </c>
      <c r="I31" s="7" t="s">
        <v>13</v>
      </c>
      <c r="J31" s="3" t="s">
        <v>75</v>
      </c>
      <c r="K31" s="8">
        <v>46190.999305555553</v>
      </c>
      <c r="L31" s="2" t="s">
        <v>67</v>
      </c>
    </row>
    <row r="32" spans="1:12" ht="18" customHeight="1" x14ac:dyDescent="0.3">
      <c r="A32" s="2" t="s">
        <v>121</v>
      </c>
      <c r="B32" s="3">
        <v>27</v>
      </c>
      <c r="C32" s="3" t="s">
        <v>119</v>
      </c>
      <c r="D32" s="3" t="s">
        <v>71</v>
      </c>
      <c r="E32" s="4">
        <v>46191.791666666657</v>
      </c>
      <c r="F32" s="5" t="s">
        <v>2</v>
      </c>
      <c r="G32" s="6">
        <v>1</v>
      </c>
      <c r="H32" s="6">
        <v>0</v>
      </c>
      <c r="I32" s="7" t="s">
        <v>25</v>
      </c>
      <c r="J32" s="3" t="s">
        <v>84</v>
      </c>
      <c r="K32" s="8">
        <v>46190.999305555553</v>
      </c>
      <c r="L32" s="2" t="s">
        <v>67</v>
      </c>
    </row>
    <row r="33" spans="1:12" ht="18" customHeight="1" x14ac:dyDescent="0.3">
      <c r="A33" s="2" t="s">
        <v>122</v>
      </c>
      <c r="B33" s="3">
        <v>28</v>
      </c>
      <c r="C33" s="3" t="s">
        <v>119</v>
      </c>
      <c r="D33" s="3" t="s">
        <v>65</v>
      </c>
      <c r="E33" s="4">
        <v>46191.916666666657</v>
      </c>
      <c r="F33" s="5" t="s">
        <v>1</v>
      </c>
      <c r="G33" s="6">
        <v>2</v>
      </c>
      <c r="H33" s="6">
        <v>1</v>
      </c>
      <c r="I33" s="7" t="s">
        <v>24</v>
      </c>
      <c r="J33" s="3" t="s">
        <v>69</v>
      </c>
      <c r="K33" s="8">
        <v>46190.999305555553</v>
      </c>
      <c r="L33" s="2" t="s">
        <v>67</v>
      </c>
    </row>
    <row r="34" spans="1:12" ht="18" customHeight="1" x14ac:dyDescent="0.3">
      <c r="A34" s="2" t="s">
        <v>123</v>
      </c>
      <c r="B34" s="3">
        <v>32</v>
      </c>
      <c r="C34" s="3" t="s">
        <v>119</v>
      </c>
      <c r="D34" s="3" t="s">
        <v>74</v>
      </c>
      <c r="E34" s="4">
        <v>46192.666666666657</v>
      </c>
      <c r="F34" s="5" t="s">
        <v>4</v>
      </c>
      <c r="G34" s="6">
        <v>0</v>
      </c>
      <c r="H34" s="6">
        <v>1</v>
      </c>
      <c r="I34" s="7" t="s">
        <v>27</v>
      </c>
      <c r="J34" s="3" t="s">
        <v>100</v>
      </c>
      <c r="K34" s="8">
        <v>46190.999305555553</v>
      </c>
      <c r="L34" s="2" t="s">
        <v>67</v>
      </c>
    </row>
    <row r="35" spans="1:12" ht="18" customHeight="1" x14ac:dyDescent="0.3">
      <c r="A35" s="2" t="s">
        <v>124</v>
      </c>
      <c r="B35" s="3">
        <v>30</v>
      </c>
      <c r="C35" s="3" t="s">
        <v>119</v>
      </c>
      <c r="D35" s="3" t="s">
        <v>79</v>
      </c>
      <c r="E35" s="4">
        <v>46192.791666666657</v>
      </c>
      <c r="F35" s="5" t="s">
        <v>38</v>
      </c>
      <c r="G35" s="6">
        <v>3</v>
      </c>
      <c r="H35" s="6">
        <v>1</v>
      </c>
      <c r="I35" s="7" t="s">
        <v>14</v>
      </c>
      <c r="J35" s="3" t="s">
        <v>82</v>
      </c>
      <c r="K35" s="8">
        <v>46190.999305555553</v>
      </c>
      <c r="L35" s="2" t="s">
        <v>67</v>
      </c>
    </row>
    <row r="36" spans="1:12" ht="18" customHeight="1" x14ac:dyDescent="0.3">
      <c r="A36" s="2" t="s">
        <v>125</v>
      </c>
      <c r="B36" s="3">
        <v>29</v>
      </c>
      <c r="C36" s="3" t="s">
        <v>119</v>
      </c>
      <c r="D36" s="3" t="s">
        <v>79</v>
      </c>
      <c r="E36" s="4">
        <v>46192.895833333343</v>
      </c>
      <c r="F36" s="5" t="s">
        <v>3</v>
      </c>
      <c r="G36" s="6">
        <v>1</v>
      </c>
      <c r="H36" s="6">
        <v>1</v>
      </c>
      <c r="I36" s="7" t="s">
        <v>26</v>
      </c>
      <c r="J36" s="3" t="s">
        <v>92</v>
      </c>
      <c r="K36" s="8">
        <v>46190.999305555553</v>
      </c>
      <c r="L36" s="2" t="s">
        <v>67</v>
      </c>
    </row>
    <row r="37" spans="1:12" ht="18" customHeight="1" x14ac:dyDescent="0.3">
      <c r="A37" s="2" t="s">
        <v>126</v>
      </c>
      <c r="B37" s="3">
        <v>31</v>
      </c>
      <c r="C37" s="3" t="s">
        <v>119</v>
      </c>
      <c r="D37" s="3" t="s">
        <v>74</v>
      </c>
      <c r="E37" s="4">
        <v>46193</v>
      </c>
      <c r="F37" s="5" t="s">
        <v>39</v>
      </c>
      <c r="G37" s="6">
        <v>2</v>
      </c>
      <c r="H37" s="6">
        <v>0</v>
      </c>
      <c r="I37" s="7" t="s">
        <v>15</v>
      </c>
      <c r="J37" s="3" t="s">
        <v>77</v>
      </c>
      <c r="K37" s="8">
        <v>46190.999305555553</v>
      </c>
      <c r="L37" s="2" t="s">
        <v>67</v>
      </c>
    </row>
    <row r="38" spans="1:12" ht="18" customHeight="1" x14ac:dyDescent="0.3">
      <c r="A38" s="2" t="s">
        <v>127</v>
      </c>
      <c r="B38" s="3">
        <v>35</v>
      </c>
      <c r="C38" s="3" t="s">
        <v>119</v>
      </c>
      <c r="D38" s="3" t="s">
        <v>89</v>
      </c>
      <c r="E38" s="4">
        <v>46193.583333333343</v>
      </c>
      <c r="F38" s="5" t="s">
        <v>5</v>
      </c>
      <c r="G38" s="6">
        <v>1</v>
      </c>
      <c r="H38" s="6">
        <v>1</v>
      </c>
      <c r="I38" s="7" t="s">
        <v>29</v>
      </c>
      <c r="J38" s="3" t="s">
        <v>87</v>
      </c>
      <c r="K38" s="8">
        <v>46190.999305555553</v>
      </c>
      <c r="L38" s="2" t="s">
        <v>67</v>
      </c>
    </row>
    <row r="39" spans="1:12" ht="18" customHeight="1" x14ac:dyDescent="0.3">
      <c r="A39" s="2" t="s">
        <v>128</v>
      </c>
      <c r="B39" s="3">
        <v>33</v>
      </c>
      <c r="C39" s="3" t="s">
        <v>119</v>
      </c>
      <c r="D39" s="3" t="s">
        <v>86</v>
      </c>
      <c r="E39" s="4">
        <v>46193.708333333343</v>
      </c>
      <c r="F39" s="5" t="s">
        <v>0</v>
      </c>
      <c r="G39" s="6">
        <v>2</v>
      </c>
      <c r="H39" s="6">
        <v>0</v>
      </c>
      <c r="I39" s="7" t="s">
        <v>28</v>
      </c>
      <c r="J39" s="3" t="s">
        <v>72</v>
      </c>
      <c r="K39" s="8">
        <v>46190.999305555553</v>
      </c>
      <c r="L39" s="2" t="s">
        <v>67</v>
      </c>
    </row>
    <row r="40" spans="1:12" ht="18" customHeight="1" x14ac:dyDescent="0.3">
      <c r="A40" s="2" t="s">
        <v>129</v>
      </c>
      <c r="B40" s="3">
        <v>34</v>
      </c>
      <c r="C40" s="3" t="s">
        <v>119</v>
      </c>
      <c r="D40" s="3" t="s">
        <v>86</v>
      </c>
      <c r="E40" s="4">
        <v>46193.875</v>
      </c>
      <c r="F40" s="5" t="s">
        <v>40</v>
      </c>
      <c r="G40" s="6">
        <v>1</v>
      </c>
      <c r="H40" s="6">
        <v>0</v>
      </c>
      <c r="I40" s="7" t="s">
        <v>16</v>
      </c>
      <c r="J40" s="3" t="s">
        <v>109</v>
      </c>
      <c r="K40" s="8">
        <v>46190.999305555553</v>
      </c>
      <c r="L40" s="2" t="s">
        <v>67</v>
      </c>
    </row>
    <row r="41" spans="1:12" ht="18" customHeight="1" x14ac:dyDescent="0.3">
      <c r="A41" s="2" t="s">
        <v>130</v>
      </c>
      <c r="B41" s="3">
        <v>36</v>
      </c>
      <c r="C41" s="3" t="s">
        <v>119</v>
      </c>
      <c r="D41" s="3" t="s">
        <v>89</v>
      </c>
      <c r="E41" s="4">
        <v>46194.041666666657</v>
      </c>
      <c r="F41" s="5" t="s">
        <v>41</v>
      </c>
      <c r="G41" s="6">
        <v>2</v>
      </c>
      <c r="H41" s="6">
        <v>1</v>
      </c>
      <c r="I41" s="7" t="s">
        <v>17</v>
      </c>
      <c r="J41" s="3" t="s">
        <v>94</v>
      </c>
      <c r="K41" s="8">
        <v>46190.999305555553</v>
      </c>
      <c r="L41" s="2" t="s">
        <v>67</v>
      </c>
    </row>
    <row r="42" spans="1:12" ht="18" customHeight="1" x14ac:dyDescent="0.3">
      <c r="A42" s="2" t="s">
        <v>131</v>
      </c>
      <c r="B42" s="3">
        <v>38</v>
      </c>
      <c r="C42" s="3" t="s">
        <v>119</v>
      </c>
      <c r="D42" s="3" t="s">
        <v>96</v>
      </c>
      <c r="E42" s="4">
        <v>46194.541666666657</v>
      </c>
      <c r="F42" s="5" t="s">
        <v>7</v>
      </c>
      <c r="G42" s="6">
        <v>0</v>
      </c>
      <c r="H42" s="6">
        <v>1</v>
      </c>
      <c r="I42" s="7" t="s">
        <v>31</v>
      </c>
      <c r="J42" s="3" t="s">
        <v>97</v>
      </c>
      <c r="K42" s="8">
        <v>46190.999305555553</v>
      </c>
      <c r="L42" s="2" t="s">
        <v>67</v>
      </c>
    </row>
    <row r="43" spans="1:12" ht="18" customHeight="1" x14ac:dyDescent="0.3">
      <c r="A43" s="2" t="s">
        <v>132</v>
      </c>
      <c r="B43" s="3">
        <v>39</v>
      </c>
      <c r="C43" s="3" t="s">
        <v>119</v>
      </c>
      <c r="D43" s="3" t="s">
        <v>99</v>
      </c>
      <c r="E43" s="4">
        <v>46194.666666666657</v>
      </c>
      <c r="F43" s="5" t="s">
        <v>6</v>
      </c>
      <c r="G43" s="6">
        <v>3</v>
      </c>
      <c r="H43" s="6">
        <v>1</v>
      </c>
      <c r="I43" s="7" t="s">
        <v>30</v>
      </c>
      <c r="J43" s="3" t="s">
        <v>75</v>
      </c>
      <c r="K43" s="8">
        <v>46190.999305555553</v>
      </c>
      <c r="L43" s="2" t="s">
        <v>67</v>
      </c>
    </row>
    <row r="44" spans="1:12" ht="18" customHeight="1" x14ac:dyDescent="0.3">
      <c r="A44" s="2" t="s">
        <v>133</v>
      </c>
      <c r="B44" s="3">
        <v>37</v>
      </c>
      <c r="C44" s="3" t="s">
        <v>119</v>
      </c>
      <c r="D44" s="3" t="s">
        <v>96</v>
      </c>
      <c r="E44" s="4">
        <v>46194.791666666657</v>
      </c>
      <c r="F44" s="5" t="s">
        <v>43</v>
      </c>
      <c r="G44" s="6">
        <v>1</v>
      </c>
      <c r="H44" s="6">
        <v>1</v>
      </c>
      <c r="I44" s="7" t="s">
        <v>19</v>
      </c>
      <c r="J44" s="3" t="s">
        <v>102</v>
      </c>
      <c r="K44" s="8">
        <v>46190.999305555553</v>
      </c>
      <c r="L44" s="2" t="s">
        <v>67</v>
      </c>
    </row>
    <row r="45" spans="1:12" ht="18" customHeight="1" x14ac:dyDescent="0.3">
      <c r="A45" s="2" t="s">
        <v>134</v>
      </c>
      <c r="B45" s="3">
        <v>40</v>
      </c>
      <c r="C45" s="3" t="s">
        <v>119</v>
      </c>
      <c r="D45" s="3" t="s">
        <v>99</v>
      </c>
      <c r="E45" s="4">
        <v>46194.916666666657</v>
      </c>
      <c r="F45" s="5" t="s">
        <v>42</v>
      </c>
      <c r="G45" s="6">
        <v>2</v>
      </c>
      <c r="H45" s="6">
        <v>0</v>
      </c>
      <c r="I45" s="7" t="s">
        <v>18</v>
      </c>
      <c r="J45" s="3" t="s">
        <v>84</v>
      </c>
      <c r="K45" s="8">
        <v>46190.999305555553</v>
      </c>
      <c r="L45" s="2" t="s">
        <v>67</v>
      </c>
    </row>
    <row r="46" spans="1:12" ht="18" customHeight="1" x14ac:dyDescent="0.3">
      <c r="A46" s="2" t="s">
        <v>135</v>
      </c>
      <c r="B46" s="3">
        <v>43</v>
      </c>
      <c r="C46" s="3" t="s">
        <v>119</v>
      </c>
      <c r="D46" s="3" t="s">
        <v>108</v>
      </c>
      <c r="E46" s="4">
        <v>46195.583333333343</v>
      </c>
      <c r="F46" s="5" t="s">
        <v>9</v>
      </c>
      <c r="G46" s="6">
        <v>1</v>
      </c>
      <c r="H46" s="6">
        <v>1</v>
      </c>
      <c r="I46" s="7" t="s">
        <v>33</v>
      </c>
      <c r="J46" s="3" t="s">
        <v>90</v>
      </c>
      <c r="K46" s="8">
        <v>46190.999305555553</v>
      </c>
      <c r="L46" s="2" t="s">
        <v>67</v>
      </c>
    </row>
    <row r="47" spans="1:12" ht="18" customHeight="1" x14ac:dyDescent="0.3">
      <c r="A47" s="2" t="s">
        <v>136</v>
      </c>
      <c r="B47" s="3">
        <v>42</v>
      </c>
      <c r="C47" s="3" t="s">
        <v>119</v>
      </c>
      <c r="D47" s="3" t="s">
        <v>105</v>
      </c>
      <c r="E47" s="4">
        <v>46195.75</v>
      </c>
      <c r="F47" s="5" t="s">
        <v>8</v>
      </c>
      <c r="G47" s="6">
        <v>2</v>
      </c>
      <c r="H47" s="6">
        <v>0</v>
      </c>
      <c r="I47" s="7" t="s">
        <v>32</v>
      </c>
      <c r="J47" s="3" t="s">
        <v>92</v>
      </c>
      <c r="K47" s="8">
        <v>46190.999305555553</v>
      </c>
      <c r="L47" s="2" t="s">
        <v>67</v>
      </c>
    </row>
    <row r="48" spans="1:12" ht="18" customHeight="1" x14ac:dyDescent="0.3">
      <c r="A48" s="2" t="s">
        <v>137</v>
      </c>
      <c r="B48" s="3">
        <v>41</v>
      </c>
      <c r="C48" s="3" t="s">
        <v>119</v>
      </c>
      <c r="D48" s="3" t="s">
        <v>105</v>
      </c>
      <c r="E48" s="4">
        <v>46195.875</v>
      </c>
      <c r="F48" s="5" t="s">
        <v>44</v>
      </c>
      <c r="G48" s="6">
        <v>1</v>
      </c>
      <c r="H48" s="6">
        <v>0</v>
      </c>
      <c r="I48" s="7" t="s">
        <v>20</v>
      </c>
      <c r="J48" s="3" t="s">
        <v>80</v>
      </c>
      <c r="K48" s="8">
        <v>46190.999305555553</v>
      </c>
      <c r="L48" s="2" t="s">
        <v>67</v>
      </c>
    </row>
    <row r="49" spans="1:12" ht="18" customHeight="1" x14ac:dyDescent="0.3">
      <c r="A49" s="2" t="s">
        <v>138</v>
      </c>
      <c r="B49" s="3">
        <v>44</v>
      </c>
      <c r="C49" s="3" t="s">
        <v>119</v>
      </c>
      <c r="D49" s="3" t="s">
        <v>108</v>
      </c>
      <c r="E49" s="4">
        <v>46196</v>
      </c>
      <c r="F49" s="5" t="s">
        <v>45</v>
      </c>
      <c r="G49" s="6">
        <v>2</v>
      </c>
      <c r="H49" s="6">
        <v>1</v>
      </c>
      <c r="I49" s="7" t="s">
        <v>21</v>
      </c>
      <c r="J49" s="3" t="s">
        <v>77</v>
      </c>
      <c r="K49" s="8">
        <v>46190.999305555553</v>
      </c>
      <c r="L49" s="2" t="s">
        <v>67</v>
      </c>
    </row>
    <row r="50" spans="1:12" ht="18" customHeight="1" x14ac:dyDescent="0.3">
      <c r="A50" s="2" t="s">
        <v>139</v>
      </c>
      <c r="B50" s="3">
        <v>47</v>
      </c>
      <c r="C50" s="3" t="s">
        <v>119</v>
      </c>
      <c r="D50" s="3" t="s">
        <v>112</v>
      </c>
      <c r="E50" s="4">
        <v>46196.583333333343</v>
      </c>
      <c r="F50" s="5" t="s">
        <v>10</v>
      </c>
      <c r="G50" s="6">
        <v>0</v>
      </c>
      <c r="H50" s="6">
        <v>1</v>
      </c>
      <c r="I50" s="7" t="s">
        <v>34</v>
      </c>
      <c r="J50" s="3" t="s">
        <v>87</v>
      </c>
      <c r="K50" s="8">
        <v>46190.999305555553</v>
      </c>
      <c r="L50" s="2" t="s">
        <v>67</v>
      </c>
    </row>
    <row r="51" spans="1:12" ht="18" customHeight="1" x14ac:dyDescent="0.3">
      <c r="A51" s="2" t="s">
        <v>140</v>
      </c>
      <c r="B51" s="3">
        <v>45</v>
      </c>
      <c r="C51" s="3" t="s">
        <v>119</v>
      </c>
      <c r="D51" s="3" t="s">
        <v>114</v>
      </c>
      <c r="E51" s="4">
        <v>46196.708333333343</v>
      </c>
      <c r="F51" s="5" t="s">
        <v>11</v>
      </c>
      <c r="G51" s="6">
        <v>3</v>
      </c>
      <c r="H51" s="6">
        <v>1</v>
      </c>
      <c r="I51" s="7" t="s">
        <v>35</v>
      </c>
      <c r="J51" s="3" t="s">
        <v>82</v>
      </c>
      <c r="K51" s="8">
        <v>46190.999305555553</v>
      </c>
      <c r="L51" s="2" t="s">
        <v>67</v>
      </c>
    </row>
    <row r="52" spans="1:12" ht="18" customHeight="1" x14ac:dyDescent="0.3">
      <c r="A52" s="2" t="s">
        <v>141</v>
      </c>
      <c r="B52" s="3">
        <v>46</v>
      </c>
      <c r="C52" s="3" t="s">
        <v>119</v>
      </c>
      <c r="D52" s="3" t="s">
        <v>114</v>
      </c>
      <c r="E52" s="4">
        <v>46196.833333333343</v>
      </c>
      <c r="F52" s="5" t="s">
        <v>47</v>
      </c>
      <c r="G52" s="6">
        <v>1</v>
      </c>
      <c r="H52" s="6">
        <v>1</v>
      </c>
      <c r="I52" s="7" t="s">
        <v>23</v>
      </c>
      <c r="J52" s="3" t="s">
        <v>72</v>
      </c>
      <c r="K52" s="8">
        <v>46190.999305555553</v>
      </c>
      <c r="L52" s="2" t="s">
        <v>67</v>
      </c>
    </row>
    <row r="53" spans="1:12" ht="18" customHeight="1" x14ac:dyDescent="0.3">
      <c r="A53" s="2" t="s">
        <v>142</v>
      </c>
      <c r="B53" s="3">
        <v>48</v>
      </c>
      <c r="C53" s="3" t="s">
        <v>119</v>
      </c>
      <c r="D53" s="3" t="s">
        <v>112</v>
      </c>
      <c r="E53" s="4">
        <v>46196.958333333343</v>
      </c>
      <c r="F53" s="5" t="s">
        <v>46</v>
      </c>
      <c r="G53" s="6">
        <v>2</v>
      </c>
      <c r="H53" s="6">
        <v>0</v>
      </c>
      <c r="I53" s="7" t="s">
        <v>22</v>
      </c>
      <c r="J53" s="3" t="s">
        <v>69</v>
      </c>
      <c r="K53" s="8">
        <v>46190.999305555553</v>
      </c>
      <c r="L53" s="2" t="s">
        <v>67</v>
      </c>
    </row>
    <row r="54" spans="1:12" ht="15" customHeight="1" x14ac:dyDescent="0.3">
      <c r="A54" s="17" t="s">
        <v>143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</row>
    <row r="55" spans="1:12" ht="18" customHeight="1" x14ac:dyDescent="0.3">
      <c r="A55" s="2" t="s">
        <v>144</v>
      </c>
      <c r="B55" s="3">
        <v>51</v>
      </c>
      <c r="C55" s="3" t="s">
        <v>145</v>
      </c>
      <c r="D55" s="3" t="s">
        <v>71</v>
      </c>
      <c r="E55" s="4">
        <v>46197.666666666657</v>
      </c>
      <c r="F55" s="5" t="s">
        <v>37</v>
      </c>
      <c r="G55" s="6">
        <v>2</v>
      </c>
      <c r="H55" s="6">
        <v>1</v>
      </c>
      <c r="I55" s="7" t="s">
        <v>2</v>
      </c>
      <c r="J55" s="3" t="s">
        <v>84</v>
      </c>
      <c r="K55" s="8">
        <v>46196.999305555553</v>
      </c>
      <c r="L55" s="2" t="s">
        <v>67</v>
      </c>
    </row>
    <row r="56" spans="1:12" ht="18" customHeight="1" x14ac:dyDescent="0.3">
      <c r="A56" s="2" t="s">
        <v>146</v>
      </c>
      <c r="B56" s="3">
        <v>52</v>
      </c>
      <c r="C56" s="3" t="s">
        <v>145</v>
      </c>
      <c r="D56" s="3" t="s">
        <v>71</v>
      </c>
      <c r="E56" s="4">
        <v>46197.666666666657</v>
      </c>
      <c r="F56" s="5" t="s">
        <v>13</v>
      </c>
      <c r="G56" s="6">
        <v>1</v>
      </c>
      <c r="H56" s="6">
        <v>1</v>
      </c>
      <c r="I56" s="7" t="s">
        <v>25</v>
      </c>
      <c r="J56" s="3" t="s">
        <v>100</v>
      </c>
      <c r="K56" s="8">
        <v>46196.999305555553</v>
      </c>
      <c r="L56" s="2" t="s">
        <v>67</v>
      </c>
    </row>
    <row r="57" spans="1:12" ht="18" customHeight="1" x14ac:dyDescent="0.3">
      <c r="A57" s="2" t="s">
        <v>147</v>
      </c>
      <c r="B57" s="3">
        <v>49</v>
      </c>
      <c r="C57" s="3" t="s">
        <v>145</v>
      </c>
      <c r="D57" s="3" t="s">
        <v>79</v>
      </c>
      <c r="E57" s="4">
        <v>46197.791666666657</v>
      </c>
      <c r="F57" s="5" t="s">
        <v>38</v>
      </c>
      <c r="G57" s="6">
        <v>0</v>
      </c>
      <c r="H57" s="6">
        <v>2</v>
      </c>
      <c r="I57" s="7" t="s">
        <v>3</v>
      </c>
      <c r="J57" s="3" t="s">
        <v>102</v>
      </c>
      <c r="K57" s="8">
        <v>46196.999305555553</v>
      </c>
      <c r="L57" s="2" t="s">
        <v>67</v>
      </c>
    </row>
    <row r="58" spans="1:12" ht="18" customHeight="1" x14ac:dyDescent="0.3">
      <c r="A58" s="2" t="s">
        <v>148</v>
      </c>
      <c r="B58" s="3">
        <v>50</v>
      </c>
      <c r="C58" s="3" t="s">
        <v>145</v>
      </c>
      <c r="D58" s="3" t="s">
        <v>79</v>
      </c>
      <c r="E58" s="4">
        <v>46197.791666666657</v>
      </c>
      <c r="F58" s="5" t="s">
        <v>14</v>
      </c>
      <c r="G58" s="6">
        <v>1</v>
      </c>
      <c r="H58" s="6">
        <v>0</v>
      </c>
      <c r="I58" s="7" t="s">
        <v>26</v>
      </c>
      <c r="J58" s="3" t="s">
        <v>97</v>
      </c>
      <c r="K58" s="8">
        <v>46196.999305555553</v>
      </c>
      <c r="L58" s="2" t="s">
        <v>67</v>
      </c>
    </row>
    <row r="59" spans="1:12" ht="18" customHeight="1" x14ac:dyDescent="0.3">
      <c r="A59" s="2" t="s">
        <v>149</v>
      </c>
      <c r="B59" s="3">
        <v>53</v>
      </c>
      <c r="C59" s="3" t="s">
        <v>145</v>
      </c>
      <c r="D59" s="3" t="s">
        <v>65</v>
      </c>
      <c r="E59" s="4">
        <v>46197.916666666657</v>
      </c>
      <c r="F59" s="5" t="s">
        <v>36</v>
      </c>
      <c r="G59" s="6">
        <v>2</v>
      </c>
      <c r="H59" s="6">
        <v>0</v>
      </c>
      <c r="I59" s="7" t="s">
        <v>1</v>
      </c>
      <c r="J59" s="3" t="s">
        <v>66</v>
      </c>
      <c r="K59" s="8">
        <v>46196.999305555553</v>
      </c>
      <c r="L59" s="2" t="s">
        <v>67</v>
      </c>
    </row>
    <row r="60" spans="1:12" ht="18" customHeight="1" x14ac:dyDescent="0.3">
      <c r="A60" s="2" t="s">
        <v>150</v>
      </c>
      <c r="B60" s="3">
        <v>54</v>
      </c>
      <c r="C60" s="3" t="s">
        <v>145</v>
      </c>
      <c r="D60" s="3" t="s">
        <v>65</v>
      </c>
      <c r="E60" s="4">
        <v>46197.916666666657</v>
      </c>
      <c r="F60" s="5" t="s">
        <v>12</v>
      </c>
      <c r="G60" s="6">
        <v>1</v>
      </c>
      <c r="H60" s="6">
        <v>1</v>
      </c>
      <c r="I60" s="7" t="s">
        <v>24</v>
      </c>
      <c r="J60" s="3" t="s">
        <v>94</v>
      </c>
      <c r="K60" s="8">
        <v>46196.999305555553</v>
      </c>
      <c r="L60" s="2" t="s">
        <v>67</v>
      </c>
    </row>
    <row r="61" spans="1:12" ht="18" customHeight="1" x14ac:dyDescent="0.3">
      <c r="A61" s="2" t="s">
        <v>151</v>
      </c>
      <c r="B61" s="3">
        <v>55</v>
      </c>
      <c r="C61" s="3" t="s">
        <v>145</v>
      </c>
      <c r="D61" s="3" t="s">
        <v>86</v>
      </c>
      <c r="E61" s="4">
        <v>46198.708333333343</v>
      </c>
      <c r="F61" s="5" t="s">
        <v>16</v>
      </c>
      <c r="G61" s="6">
        <v>0</v>
      </c>
      <c r="H61" s="6">
        <v>1</v>
      </c>
      <c r="I61" s="7" t="s">
        <v>28</v>
      </c>
      <c r="J61" s="3" t="s">
        <v>92</v>
      </c>
      <c r="K61" s="8">
        <v>46196.999305555553</v>
      </c>
      <c r="L61" s="2" t="s">
        <v>67</v>
      </c>
    </row>
    <row r="62" spans="1:12" ht="18" customHeight="1" x14ac:dyDescent="0.3">
      <c r="A62" s="2" t="s">
        <v>152</v>
      </c>
      <c r="B62" s="3">
        <v>56</v>
      </c>
      <c r="C62" s="3" t="s">
        <v>145</v>
      </c>
      <c r="D62" s="3" t="s">
        <v>86</v>
      </c>
      <c r="E62" s="4">
        <v>46198.708333333343</v>
      </c>
      <c r="F62" s="5" t="s">
        <v>40</v>
      </c>
      <c r="G62" s="6">
        <v>2</v>
      </c>
      <c r="H62" s="6">
        <v>1</v>
      </c>
      <c r="I62" s="7" t="s">
        <v>0</v>
      </c>
      <c r="J62" s="3" t="s">
        <v>80</v>
      </c>
      <c r="K62" s="8">
        <v>46196.999305555553</v>
      </c>
      <c r="L62" s="2" t="s">
        <v>67</v>
      </c>
    </row>
    <row r="63" spans="1:12" ht="18" customHeight="1" x14ac:dyDescent="0.3">
      <c r="A63" s="2" t="s">
        <v>153</v>
      </c>
      <c r="B63" s="3">
        <v>58</v>
      </c>
      <c r="C63" s="3" t="s">
        <v>145</v>
      </c>
      <c r="D63" s="3" t="s">
        <v>89</v>
      </c>
      <c r="E63" s="4">
        <v>46198.833333333343</v>
      </c>
      <c r="F63" s="5" t="s">
        <v>41</v>
      </c>
      <c r="G63" s="6">
        <v>2</v>
      </c>
      <c r="H63" s="6">
        <v>1</v>
      </c>
      <c r="I63" s="7" t="s">
        <v>5</v>
      </c>
      <c r="J63" s="3" t="s">
        <v>109</v>
      </c>
      <c r="K63" s="8">
        <v>46196.999305555553</v>
      </c>
      <c r="L63" s="2" t="s">
        <v>67</v>
      </c>
    </row>
    <row r="64" spans="1:12" ht="18" customHeight="1" x14ac:dyDescent="0.3">
      <c r="A64" s="2" t="s">
        <v>154</v>
      </c>
      <c r="B64" s="3">
        <v>57</v>
      </c>
      <c r="C64" s="3" t="s">
        <v>145</v>
      </c>
      <c r="D64" s="3" t="s">
        <v>89</v>
      </c>
      <c r="E64" s="4">
        <v>46198.833333333343</v>
      </c>
      <c r="F64" s="5" t="s">
        <v>17</v>
      </c>
      <c r="G64" s="6">
        <v>1</v>
      </c>
      <c r="H64" s="6">
        <v>1</v>
      </c>
      <c r="I64" s="7" t="s">
        <v>29</v>
      </c>
      <c r="J64" s="3" t="s">
        <v>90</v>
      </c>
      <c r="K64" s="8">
        <v>46196.999305555553</v>
      </c>
      <c r="L64" s="2" t="s">
        <v>67</v>
      </c>
    </row>
    <row r="65" spans="1:12" ht="18" customHeight="1" x14ac:dyDescent="0.3">
      <c r="A65" s="2" t="s">
        <v>155</v>
      </c>
      <c r="B65" s="3">
        <v>60</v>
      </c>
      <c r="C65" s="3" t="s">
        <v>145</v>
      </c>
      <c r="D65" s="3" t="s">
        <v>74</v>
      </c>
      <c r="E65" s="4">
        <v>46198.958333333343</v>
      </c>
      <c r="F65" s="5" t="s">
        <v>15</v>
      </c>
      <c r="G65" s="6">
        <v>0</v>
      </c>
      <c r="H65" s="6">
        <v>2</v>
      </c>
      <c r="I65" s="7" t="s">
        <v>27</v>
      </c>
      <c r="J65" s="3" t="s">
        <v>77</v>
      </c>
      <c r="K65" s="8">
        <v>46196.999305555553</v>
      </c>
      <c r="L65" s="2" t="s">
        <v>67</v>
      </c>
    </row>
    <row r="66" spans="1:12" ht="18" customHeight="1" x14ac:dyDescent="0.3">
      <c r="A66" s="2" t="s">
        <v>156</v>
      </c>
      <c r="B66" s="3">
        <v>59</v>
      </c>
      <c r="C66" s="3" t="s">
        <v>145</v>
      </c>
      <c r="D66" s="3" t="s">
        <v>74</v>
      </c>
      <c r="E66" s="4">
        <v>46198.958333333343</v>
      </c>
      <c r="F66" s="5" t="s">
        <v>39</v>
      </c>
      <c r="G66" s="6">
        <v>1</v>
      </c>
      <c r="H66" s="6">
        <v>0</v>
      </c>
      <c r="I66" s="7" t="s">
        <v>4</v>
      </c>
      <c r="J66" s="3" t="s">
        <v>75</v>
      </c>
      <c r="K66" s="8">
        <v>46196.999305555553</v>
      </c>
      <c r="L66" s="2" t="s">
        <v>67</v>
      </c>
    </row>
    <row r="67" spans="1:12" ht="18" customHeight="1" x14ac:dyDescent="0.3">
      <c r="A67" s="2" t="s">
        <v>157</v>
      </c>
      <c r="B67" s="3">
        <v>66</v>
      </c>
      <c r="C67" s="3" t="s">
        <v>145</v>
      </c>
      <c r="D67" s="3" t="s">
        <v>96</v>
      </c>
      <c r="E67" s="4">
        <v>46199.875</v>
      </c>
      <c r="F67" s="5" t="s">
        <v>43</v>
      </c>
      <c r="G67" s="6">
        <v>2</v>
      </c>
      <c r="H67" s="6">
        <v>0</v>
      </c>
      <c r="I67" s="7" t="s">
        <v>7</v>
      </c>
      <c r="J67" s="3" t="s">
        <v>69</v>
      </c>
      <c r="K67" s="8">
        <v>46196.999305555553</v>
      </c>
      <c r="L67" s="2" t="s">
        <v>67</v>
      </c>
    </row>
    <row r="68" spans="1:12" ht="18" customHeight="1" x14ac:dyDescent="0.3">
      <c r="A68" s="2" t="s">
        <v>158</v>
      </c>
      <c r="B68" s="3">
        <v>65</v>
      </c>
      <c r="C68" s="3" t="s">
        <v>145</v>
      </c>
      <c r="D68" s="3" t="s">
        <v>96</v>
      </c>
      <c r="E68" s="4">
        <v>46199.875</v>
      </c>
      <c r="F68" s="5" t="s">
        <v>19</v>
      </c>
      <c r="G68" s="6">
        <v>1</v>
      </c>
      <c r="H68" s="6">
        <v>1</v>
      </c>
      <c r="I68" s="7" t="s">
        <v>31</v>
      </c>
      <c r="J68" s="3" t="s">
        <v>87</v>
      </c>
      <c r="K68" s="8">
        <v>46196.999305555553</v>
      </c>
      <c r="L68" s="2" t="s">
        <v>67</v>
      </c>
    </row>
    <row r="69" spans="1:12" ht="18" customHeight="1" x14ac:dyDescent="0.3">
      <c r="A69" s="2" t="s">
        <v>159</v>
      </c>
      <c r="B69" s="3">
        <v>64</v>
      </c>
      <c r="C69" s="3" t="s">
        <v>145</v>
      </c>
      <c r="D69" s="3" t="s">
        <v>99</v>
      </c>
      <c r="E69" s="4">
        <v>46200</v>
      </c>
      <c r="F69" s="5" t="s">
        <v>42</v>
      </c>
      <c r="G69" s="6">
        <v>0</v>
      </c>
      <c r="H69" s="6">
        <v>1</v>
      </c>
      <c r="I69" s="7" t="s">
        <v>6</v>
      </c>
      <c r="J69" s="3" t="s">
        <v>84</v>
      </c>
      <c r="K69" s="8">
        <v>46196.999305555553</v>
      </c>
      <c r="L69" s="2" t="s">
        <v>67</v>
      </c>
    </row>
    <row r="70" spans="1:12" ht="18" customHeight="1" x14ac:dyDescent="0.3">
      <c r="A70" s="2" t="s">
        <v>160</v>
      </c>
      <c r="B70" s="3">
        <v>63</v>
      </c>
      <c r="C70" s="3" t="s">
        <v>145</v>
      </c>
      <c r="D70" s="3" t="s">
        <v>99</v>
      </c>
      <c r="E70" s="4">
        <v>46200</v>
      </c>
      <c r="F70" s="5" t="s">
        <v>18</v>
      </c>
      <c r="G70" s="6">
        <v>2</v>
      </c>
      <c r="H70" s="6">
        <v>1</v>
      </c>
      <c r="I70" s="7" t="s">
        <v>30</v>
      </c>
      <c r="J70" s="3" t="s">
        <v>100</v>
      </c>
      <c r="K70" s="8">
        <v>46196.999305555553</v>
      </c>
      <c r="L70" s="2" t="s">
        <v>67</v>
      </c>
    </row>
    <row r="71" spans="1:12" ht="18" customHeight="1" x14ac:dyDescent="0.3">
      <c r="A71" s="2" t="s">
        <v>161</v>
      </c>
      <c r="B71" s="3">
        <v>68</v>
      </c>
      <c r="C71" s="3" t="s">
        <v>145</v>
      </c>
      <c r="D71" s="3" t="s">
        <v>114</v>
      </c>
      <c r="E71" s="4">
        <v>46200.75</v>
      </c>
      <c r="F71" s="5" t="s">
        <v>23</v>
      </c>
      <c r="G71" s="6">
        <v>2</v>
      </c>
      <c r="H71" s="6">
        <v>1</v>
      </c>
      <c r="I71" s="7" t="s">
        <v>35</v>
      </c>
      <c r="J71" s="3" t="s">
        <v>92</v>
      </c>
      <c r="K71" s="8">
        <v>46196.999305555553</v>
      </c>
      <c r="L71" s="2" t="s">
        <v>67</v>
      </c>
    </row>
    <row r="72" spans="1:12" ht="18" customHeight="1" x14ac:dyDescent="0.3">
      <c r="A72" s="2" t="s">
        <v>162</v>
      </c>
      <c r="B72" s="3">
        <v>67</v>
      </c>
      <c r="C72" s="3" t="s">
        <v>145</v>
      </c>
      <c r="D72" s="3" t="s">
        <v>114</v>
      </c>
      <c r="E72" s="4">
        <v>46200.75</v>
      </c>
      <c r="F72" s="5" t="s">
        <v>47</v>
      </c>
      <c r="G72" s="6">
        <v>1</v>
      </c>
      <c r="H72" s="6">
        <v>1</v>
      </c>
      <c r="I72" s="7" t="s">
        <v>11</v>
      </c>
      <c r="J72" s="3" t="s">
        <v>80</v>
      </c>
      <c r="K72" s="8">
        <v>46196.999305555553</v>
      </c>
      <c r="L72" s="2" t="s">
        <v>67</v>
      </c>
    </row>
    <row r="73" spans="1:12" ht="18" customHeight="1" x14ac:dyDescent="0.3">
      <c r="A73" s="2" t="s">
        <v>163</v>
      </c>
      <c r="B73" s="3">
        <v>72</v>
      </c>
      <c r="C73" s="3" t="s">
        <v>145</v>
      </c>
      <c r="D73" s="3" t="s">
        <v>112</v>
      </c>
      <c r="E73" s="4">
        <v>46200.854166666657</v>
      </c>
      <c r="F73" s="5" t="s">
        <v>22</v>
      </c>
      <c r="G73" s="6">
        <v>0</v>
      </c>
      <c r="H73" s="6">
        <v>2</v>
      </c>
      <c r="I73" s="7" t="s">
        <v>34</v>
      </c>
      <c r="J73" s="3" t="s">
        <v>97</v>
      </c>
      <c r="K73" s="8">
        <v>46196.999305555553</v>
      </c>
      <c r="L73" s="2" t="s">
        <v>67</v>
      </c>
    </row>
    <row r="74" spans="1:12" ht="18" customHeight="1" x14ac:dyDescent="0.3">
      <c r="A74" s="2" t="s">
        <v>164</v>
      </c>
      <c r="B74" s="3">
        <v>71</v>
      </c>
      <c r="C74" s="3" t="s">
        <v>145</v>
      </c>
      <c r="D74" s="3" t="s">
        <v>112</v>
      </c>
      <c r="E74" s="4">
        <v>46200.854166666657</v>
      </c>
      <c r="F74" s="5" t="s">
        <v>46</v>
      </c>
      <c r="G74" s="6">
        <v>1</v>
      </c>
      <c r="H74" s="6">
        <v>0</v>
      </c>
      <c r="I74" s="7" t="s">
        <v>10</v>
      </c>
      <c r="J74" s="3" t="s">
        <v>102</v>
      </c>
      <c r="K74" s="8">
        <v>46196.999305555553</v>
      </c>
      <c r="L74" s="2" t="s">
        <v>67</v>
      </c>
    </row>
    <row r="75" spans="1:12" ht="18" customHeight="1" x14ac:dyDescent="0.3">
      <c r="A75" s="2" t="s">
        <v>165</v>
      </c>
      <c r="B75" s="3">
        <v>70</v>
      </c>
      <c r="C75" s="3" t="s">
        <v>145</v>
      </c>
      <c r="D75" s="3" t="s">
        <v>108</v>
      </c>
      <c r="E75" s="4">
        <v>46200.958333333343</v>
      </c>
      <c r="F75" s="5" t="s">
        <v>45</v>
      </c>
      <c r="G75" s="6">
        <v>2</v>
      </c>
      <c r="H75" s="6">
        <v>0</v>
      </c>
      <c r="I75" s="7" t="s">
        <v>9</v>
      </c>
      <c r="J75" s="3" t="s">
        <v>90</v>
      </c>
      <c r="K75" s="8">
        <v>46196.999305555553</v>
      </c>
      <c r="L75" s="2" t="s">
        <v>67</v>
      </c>
    </row>
    <row r="76" spans="1:12" ht="18" customHeight="1" x14ac:dyDescent="0.3">
      <c r="A76" s="2" t="s">
        <v>166</v>
      </c>
      <c r="B76" s="3">
        <v>69</v>
      </c>
      <c r="C76" s="3" t="s">
        <v>145</v>
      </c>
      <c r="D76" s="3" t="s">
        <v>108</v>
      </c>
      <c r="E76" s="4">
        <v>46200.958333333343</v>
      </c>
      <c r="F76" s="5" t="s">
        <v>21</v>
      </c>
      <c r="G76" s="6">
        <v>1</v>
      </c>
      <c r="H76" s="6">
        <v>1</v>
      </c>
      <c r="I76" s="7" t="s">
        <v>33</v>
      </c>
      <c r="J76" s="3" t="s">
        <v>109</v>
      </c>
      <c r="K76" s="8">
        <v>46196.999305555553</v>
      </c>
      <c r="L76" s="2" t="s">
        <v>67</v>
      </c>
    </row>
    <row r="77" spans="1:12" ht="18" customHeight="1" x14ac:dyDescent="0.3">
      <c r="A77" s="2" t="s">
        <v>167</v>
      </c>
      <c r="B77" s="3">
        <v>61</v>
      </c>
      <c r="C77" s="3" t="s">
        <v>145</v>
      </c>
      <c r="D77" s="3" t="s">
        <v>105</v>
      </c>
      <c r="E77" s="4">
        <v>46201.666666666657</v>
      </c>
      <c r="F77" s="5" t="s">
        <v>44</v>
      </c>
      <c r="G77" s="6">
        <v>0</v>
      </c>
      <c r="H77" s="6">
        <v>1</v>
      </c>
      <c r="I77" s="7" t="s">
        <v>8</v>
      </c>
      <c r="J77" s="3" t="s">
        <v>82</v>
      </c>
      <c r="K77" s="8">
        <v>46196.999305555553</v>
      </c>
      <c r="L77" s="2" t="s">
        <v>67</v>
      </c>
    </row>
    <row r="78" spans="1:12" ht="18" customHeight="1" x14ac:dyDescent="0.3">
      <c r="A78" s="2" t="s">
        <v>168</v>
      </c>
      <c r="B78" s="3">
        <v>62</v>
      </c>
      <c r="C78" s="3" t="s">
        <v>145</v>
      </c>
      <c r="D78" s="3" t="s">
        <v>105</v>
      </c>
      <c r="E78" s="4">
        <v>46201.666666666657</v>
      </c>
      <c r="F78" s="5" t="s">
        <v>20</v>
      </c>
      <c r="G78" s="6">
        <v>2</v>
      </c>
      <c r="H78" s="6">
        <v>1</v>
      </c>
      <c r="I78" s="7" t="s">
        <v>32</v>
      </c>
      <c r="J78" s="3" t="s">
        <v>72</v>
      </c>
      <c r="K78" s="8">
        <v>46196.999305555553</v>
      </c>
      <c r="L78" s="2" t="s">
        <v>67</v>
      </c>
    </row>
    <row r="79" spans="1:12" ht="15" customHeight="1" x14ac:dyDescent="0.3">
      <c r="A79" s="17" t="s">
        <v>169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</row>
    <row r="80" spans="1:12" ht="13.95" customHeight="1" x14ac:dyDescent="0.3">
      <c r="A80" s="9"/>
      <c r="B80" s="10" t="s">
        <v>53</v>
      </c>
      <c r="C80" s="11"/>
      <c r="D80" s="11"/>
      <c r="E80" s="11"/>
      <c r="F80" s="11"/>
      <c r="G80" s="12" t="s">
        <v>170</v>
      </c>
      <c r="H80" s="12" t="s">
        <v>171</v>
      </c>
      <c r="I80" s="11"/>
      <c r="J80" s="11"/>
      <c r="K80" s="11"/>
      <c r="L80" s="11"/>
    </row>
    <row r="81" spans="1:12" ht="18" customHeight="1" x14ac:dyDescent="0.3">
      <c r="A81" s="2" t="s">
        <v>172</v>
      </c>
      <c r="B81" s="13" t="s">
        <v>173</v>
      </c>
      <c r="C81" s="7"/>
      <c r="D81" s="7"/>
      <c r="E81" s="7"/>
      <c r="F81" s="7" t="s">
        <v>1</v>
      </c>
      <c r="G81" s="6" t="s">
        <v>1</v>
      </c>
      <c r="H81" s="6" t="s">
        <v>174</v>
      </c>
      <c r="I81" s="7"/>
      <c r="J81" s="7"/>
      <c r="K81" s="8">
        <v>46183.999305555553</v>
      </c>
      <c r="L81" s="2" t="s">
        <v>67</v>
      </c>
    </row>
    <row r="82" spans="1:12" ht="18" customHeight="1" x14ac:dyDescent="0.3">
      <c r="A82" s="2" t="s">
        <v>175</v>
      </c>
      <c r="B82" s="13" t="s">
        <v>176</v>
      </c>
      <c r="C82" s="7"/>
      <c r="D82" s="7"/>
      <c r="E82" s="7"/>
      <c r="F82" s="7" t="s">
        <v>37</v>
      </c>
      <c r="G82" s="6" t="s">
        <v>37</v>
      </c>
      <c r="H82" s="6" t="s">
        <v>2</v>
      </c>
      <c r="I82" s="7"/>
      <c r="J82" s="7"/>
      <c r="K82" s="8">
        <v>46183.999305555553</v>
      </c>
      <c r="L82" s="2" t="s">
        <v>67</v>
      </c>
    </row>
    <row r="83" spans="1:12" ht="18" customHeight="1" x14ac:dyDescent="0.3">
      <c r="A83" s="2" t="s">
        <v>177</v>
      </c>
      <c r="B83" s="13" t="s">
        <v>178</v>
      </c>
      <c r="C83" s="7"/>
      <c r="D83" s="7"/>
      <c r="E83" s="7"/>
      <c r="F83" s="7" t="s">
        <v>3</v>
      </c>
      <c r="G83" s="6" t="s">
        <v>3</v>
      </c>
      <c r="H83" s="6" t="s">
        <v>14</v>
      </c>
      <c r="I83" s="7"/>
      <c r="J83" s="7"/>
      <c r="K83" s="8">
        <v>46183.999305555553</v>
      </c>
      <c r="L83" s="2" t="s">
        <v>67</v>
      </c>
    </row>
    <row r="84" spans="1:12" ht="18" customHeight="1" x14ac:dyDescent="0.3">
      <c r="A84" s="2" t="s">
        <v>179</v>
      </c>
      <c r="B84" s="13" t="s">
        <v>180</v>
      </c>
      <c r="C84" s="7"/>
      <c r="D84" s="7"/>
      <c r="E84" s="7"/>
      <c r="F84" s="7" t="s">
        <v>4</v>
      </c>
      <c r="G84" s="6" t="s">
        <v>4</v>
      </c>
      <c r="H84" s="6" t="s">
        <v>39</v>
      </c>
      <c r="I84" s="7"/>
      <c r="J84" s="7"/>
      <c r="K84" s="8">
        <v>46183.999305555553</v>
      </c>
      <c r="L84" s="2" t="s">
        <v>67</v>
      </c>
    </row>
    <row r="85" spans="1:12" ht="18" customHeight="1" x14ac:dyDescent="0.3">
      <c r="A85" s="2" t="s">
        <v>181</v>
      </c>
      <c r="B85" s="13" t="s">
        <v>182</v>
      </c>
      <c r="C85" s="7"/>
      <c r="D85" s="7"/>
      <c r="E85" s="7"/>
      <c r="F85" s="7" t="s">
        <v>0</v>
      </c>
      <c r="G85" s="6" t="s">
        <v>0</v>
      </c>
      <c r="H85" s="6" t="s">
        <v>40</v>
      </c>
      <c r="I85" s="7"/>
      <c r="J85" s="7"/>
      <c r="K85" s="8">
        <v>46183.999305555553</v>
      </c>
      <c r="L85" s="2" t="s">
        <v>67</v>
      </c>
    </row>
    <row r="86" spans="1:12" ht="18" customHeight="1" x14ac:dyDescent="0.3">
      <c r="A86" s="2" t="s">
        <v>183</v>
      </c>
      <c r="B86" s="13" t="s">
        <v>184</v>
      </c>
      <c r="C86" s="7"/>
      <c r="D86" s="7"/>
      <c r="E86" s="7"/>
      <c r="F86" s="7" t="s">
        <v>5</v>
      </c>
      <c r="G86" s="6" t="s">
        <v>5</v>
      </c>
      <c r="H86" s="6" t="s">
        <v>17</v>
      </c>
      <c r="I86" s="7"/>
      <c r="J86" s="7"/>
      <c r="K86" s="8">
        <v>46183.999305555553</v>
      </c>
      <c r="L86" s="2" t="s">
        <v>67</v>
      </c>
    </row>
    <row r="87" spans="1:12" ht="18" customHeight="1" x14ac:dyDescent="0.3">
      <c r="A87" s="2" t="s">
        <v>185</v>
      </c>
      <c r="B87" s="13" t="s">
        <v>186</v>
      </c>
      <c r="C87" s="7"/>
      <c r="D87" s="7"/>
      <c r="E87" s="7"/>
      <c r="F87" s="7" t="s">
        <v>6</v>
      </c>
      <c r="G87" s="6" t="s">
        <v>6</v>
      </c>
      <c r="H87" s="6" t="s">
        <v>30</v>
      </c>
      <c r="I87" s="7"/>
      <c r="J87" s="7"/>
      <c r="K87" s="8">
        <v>46183.999305555553</v>
      </c>
      <c r="L87" s="2" t="s">
        <v>67</v>
      </c>
    </row>
    <row r="88" spans="1:12" ht="18" customHeight="1" x14ac:dyDescent="0.3">
      <c r="A88" s="2" t="s">
        <v>187</v>
      </c>
      <c r="B88" s="13" t="s">
        <v>188</v>
      </c>
      <c r="C88" s="7"/>
      <c r="D88" s="7"/>
      <c r="E88" s="7"/>
      <c r="F88" s="7" t="s">
        <v>7</v>
      </c>
      <c r="G88" s="6" t="s">
        <v>7</v>
      </c>
      <c r="H88" s="6" t="s">
        <v>43</v>
      </c>
      <c r="I88" s="7"/>
      <c r="J88" s="7"/>
      <c r="K88" s="8">
        <v>46183.999305555553</v>
      </c>
      <c r="L88" s="2" t="s">
        <v>67</v>
      </c>
    </row>
    <row r="89" spans="1:12" ht="18" customHeight="1" x14ac:dyDescent="0.3">
      <c r="A89" s="2" t="s">
        <v>189</v>
      </c>
      <c r="B89" s="13" t="s">
        <v>190</v>
      </c>
      <c r="C89" s="7"/>
      <c r="D89" s="7"/>
      <c r="E89" s="7"/>
      <c r="F89" s="7" t="s">
        <v>8</v>
      </c>
      <c r="G89" s="6" t="s">
        <v>8</v>
      </c>
      <c r="H89" s="6" t="s">
        <v>44</v>
      </c>
      <c r="I89" s="7"/>
      <c r="J89" s="7"/>
      <c r="K89" s="8">
        <v>46183.999305555553</v>
      </c>
      <c r="L89" s="2" t="s">
        <v>67</v>
      </c>
    </row>
    <row r="90" spans="1:12" ht="18" customHeight="1" x14ac:dyDescent="0.3">
      <c r="A90" s="2" t="s">
        <v>191</v>
      </c>
      <c r="B90" s="13" t="s">
        <v>192</v>
      </c>
      <c r="C90" s="7"/>
      <c r="D90" s="7"/>
      <c r="E90" s="7"/>
      <c r="F90" s="7" t="s">
        <v>9</v>
      </c>
      <c r="G90" s="6" t="s">
        <v>9</v>
      </c>
      <c r="H90" s="6" t="s">
        <v>33</v>
      </c>
      <c r="I90" s="7"/>
      <c r="J90" s="7"/>
      <c r="K90" s="8">
        <v>46183.999305555553</v>
      </c>
      <c r="L90" s="2" t="s">
        <v>67</v>
      </c>
    </row>
    <row r="91" spans="1:12" ht="18" customHeight="1" x14ac:dyDescent="0.3">
      <c r="A91" s="2" t="s">
        <v>193</v>
      </c>
      <c r="B91" s="13" t="s">
        <v>194</v>
      </c>
      <c r="C91" s="7"/>
      <c r="D91" s="7"/>
      <c r="E91" s="7"/>
      <c r="F91" s="7" t="s">
        <v>10</v>
      </c>
      <c r="G91" s="6" t="s">
        <v>10</v>
      </c>
      <c r="H91" s="6" t="s">
        <v>46</v>
      </c>
      <c r="I91" s="7"/>
      <c r="J91" s="7"/>
      <c r="K91" s="8">
        <v>46183.999305555553</v>
      </c>
      <c r="L91" s="2" t="s">
        <v>67</v>
      </c>
    </row>
    <row r="92" spans="1:12" ht="18" customHeight="1" x14ac:dyDescent="0.3">
      <c r="A92" s="2" t="s">
        <v>195</v>
      </c>
      <c r="B92" s="13" t="s">
        <v>196</v>
      </c>
      <c r="C92" s="7"/>
      <c r="D92" s="7"/>
      <c r="E92" s="7"/>
      <c r="F92" s="7" t="s">
        <v>11</v>
      </c>
      <c r="G92" s="6" t="s">
        <v>11</v>
      </c>
      <c r="H92" s="6" t="s">
        <v>23</v>
      </c>
      <c r="I92" s="7"/>
      <c r="J92" s="7"/>
      <c r="K92" s="8">
        <v>46183.999305555553</v>
      </c>
      <c r="L92" s="2" t="s">
        <v>67</v>
      </c>
    </row>
    <row r="93" spans="1:12" ht="15" customHeight="1" x14ac:dyDescent="0.3">
      <c r="A93" s="17" t="s">
        <v>197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</row>
    <row r="94" spans="1:12" ht="13.95" customHeight="1" x14ac:dyDescent="0.3">
      <c r="A94" s="9"/>
      <c r="B94" s="10" t="s">
        <v>53</v>
      </c>
      <c r="C94" s="11"/>
      <c r="D94" s="11"/>
      <c r="E94" s="11"/>
      <c r="F94" s="11"/>
      <c r="G94" s="12" t="s">
        <v>198</v>
      </c>
      <c r="H94" s="11"/>
      <c r="I94" s="11"/>
      <c r="J94" s="11"/>
      <c r="K94" s="11"/>
      <c r="L94" s="11"/>
    </row>
    <row r="95" spans="1:12" ht="18" customHeight="1" x14ac:dyDescent="0.3">
      <c r="A95" s="2" t="s">
        <v>199</v>
      </c>
      <c r="B95" s="13" t="s">
        <v>173</v>
      </c>
      <c r="C95" s="7"/>
      <c r="D95" s="7"/>
      <c r="E95" s="7"/>
      <c r="F95" s="7" t="s">
        <v>24</v>
      </c>
      <c r="G95" s="6" t="s">
        <v>24</v>
      </c>
      <c r="H95" s="14"/>
      <c r="I95" s="7"/>
      <c r="J95" s="7"/>
      <c r="K95" s="8">
        <v>46183.999305555553</v>
      </c>
      <c r="L95" s="2" t="s">
        <v>67</v>
      </c>
    </row>
    <row r="96" spans="1:12" ht="18" customHeight="1" x14ac:dyDescent="0.3">
      <c r="A96" s="2" t="s">
        <v>200</v>
      </c>
      <c r="B96" s="13" t="s">
        <v>176</v>
      </c>
      <c r="C96" s="7"/>
      <c r="D96" s="7"/>
      <c r="E96" s="7"/>
      <c r="F96" s="7" t="s">
        <v>13</v>
      </c>
      <c r="G96" s="6" t="s">
        <v>13</v>
      </c>
      <c r="H96" s="14"/>
      <c r="I96" s="7"/>
      <c r="J96" s="7"/>
      <c r="K96" s="8">
        <v>46183.999305555553</v>
      </c>
      <c r="L96" s="2" t="s">
        <v>67</v>
      </c>
    </row>
    <row r="97" spans="1:12" ht="18" customHeight="1" x14ac:dyDescent="0.3">
      <c r="A97" s="2" t="s">
        <v>201</v>
      </c>
      <c r="B97" s="13" t="s">
        <v>178</v>
      </c>
      <c r="C97" s="7"/>
      <c r="D97" s="7"/>
      <c r="E97" s="7"/>
      <c r="F97" s="7" t="s">
        <v>38</v>
      </c>
      <c r="G97" s="6" t="s">
        <v>38</v>
      </c>
      <c r="H97" s="14"/>
      <c r="I97" s="7"/>
      <c r="J97" s="7"/>
      <c r="K97" s="8">
        <v>46183.999305555553</v>
      </c>
      <c r="L97" s="2" t="s">
        <v>67</v>
      </c>
    </row>
    <row r="98" spans="1:12" ht="18" customHeight="1" x14ac:dyDescent="0.3">
      <c r="A98" s="2" t="s">
        <v>202</v>
      </c>
      <c r="B98" s="13" t="s">
        <v>180</v>
      </c>
      <c r="C98" s="7"/>
      <c r="D98" s="7"/>
      <c r="E98" s="7"/>
      <c r="F98" s="7" t="s">
        <v>27</v>
      </c>
      <c r="G98" s="6" t="s">
        <v>27</v>
      </c>
      <c r="H98" s="14"/>
      <c r="I98" s="7"/>
      <c r="J98" s="7"/>
      <c r="K98" s="8">
        <v>46183.999305555553</v>
      </c>
      <c r="L98" s="2" t="s">
        <v>67</v>
      </c>
    </row>
    <row r="99" spans="1:12" ht="18" customHeight="1" x14ac:dyDescent="0.3">
      <c r="A99" s="2" t="s">
        <v>203</v>
      </c>
      <c r="B99" s="13" t="s">
        <v>182</v>
      </c>
      <c r="C99" s="7"/>
      <c r="D99" s="7"/>
      <c r="E99" s="7"/>
      <c r="F99" s="7" t="s">
        <v>28</v>
      </c>
      <c r="G99" s="6" t="s">
        <v>28</v>
      </c>
      <c r="H99" s="14"/>
      <c r="I99" s="7"/>
      <c r="J99" s="7"/>
      <c r="K99" s="8">
        <v>46183.999305555553</v>
      </c>
      <c r="L99" s="2" t="s">
        <v>67</v>
      </c>
    </row>
    <row r="100" spans="1:12" ht="18" customHeight="1" x14ac:dyDescent="0.3">
      <c r="A100" s="2" t="s">
        <v>204</v>
      </c>
      <c r="B100" s="13" t="s">
        <v>184</v>
      </c>
      <c r="C100" s="7"/>
      <c r="D100" s="7"/>
      <c r="E100" s="7"/>
      <c r="F100" s="7" t="s">
        <v>29</v>
      </c>
      <c r="G100" s="6" t="s">
        <v>29</v>
      </c>
      <c r="H100" s="14"/>
      <c r="I100" s="7"/>
      <c r="J100" s="7"/>
      <c r="K100" s="8">
        <v>46183.999305555553</v>
      </c>
      <c r="L100" s="2" t="s">
        <v>67</v>
      </c>
    </row>
    <row r="101" spans="1:12" ht="18" customHeight="1" x14ac:dyDescent="0.3">
      <c r="A101" s="2" t="s">
        <v>205</v>
      </c>
      <c r="B101" s="13" t="s">
        <v>186</v>
      </c>
      <c r="C101" s="7"/>
      <c r="D101" s="7"/>
      <c r="E101" s="7"/>
      <c r="F101" s="7" t="s">
        <v>18</v>
      </c>
      <c r="G101" s="6" t="s">
        <v>18</v>
      </c>
      <c r="H101" s="14"/>
      <c r="I101" s="7"/>
      <c r="J101" s="7"/>
      <c r="K101" s="8">
        <v>46183.999305555553</v>
      </c>
      <c r="L101" s="2" t="s">
        <v>67</v>
      </c>
    </row>
    <row r="102" spans="1:12" ht="18" customHeight="1" x14ac:dyDescent="0.3">
      <c r="A102" s="2" t="s">
        <v>206</v>
      </c>
      <c r="B102" s="13" t="s">
        <v>188</v>
      </c>
      <c r="C102" s="7"/>
      <c r="D102" s="7"/>
      <c r="E102" s="7"/>
      <c r="F102" s="7" t="s">
        <v>21</v>
      </c>
      <c r="G102" s="6" t="s">
        <v>21</v>
      </c>
      <c r="H102" s="14"/>
      <c r="I102" s="7"/>
      <c r="J102" s="7"/>
      <c r="K102" s="8">
        <v>46183.999305555553</v>
      </c>
      <c r="L102" s="2" t="s">
        <v>67</v>
      </c>
    </row>
    <row r="103" spans="1:12" ht="18" customHeight="1" x14ac:dyDescent="0.3">
      <c r="A103" s="2" t="s">
        <v>207</v>
      </c>
      <c r="B103" s="13" t="s">
        <v>190</v>
      </c>
      <c r="C103" s="7"/>
      <c r="D103" s="7"/>
      <c r="E103" s="7"/>
      <c r="F103" s="7"/>
      <c r="G103" s="6"/>
      <c r="H103" s="14"/>
      <c r="I103" s="7"/>
      <c r="J103" s="7"/>
      <c r="K103" s="8">
        <v>46183.999305555553</v>
      </c>
      <c r="L103" s="2" t="s">
        <v>67</v>
      </c>
    </row>
    <row r="104" spans="1:12" ht="18" customHeight="1" x14ac:dyDescent="0.3">
      <c r="A104" s="2" t="s">
        <v>208</v>
      </c>
      <c r="B104" s="13" t="s">
        <v>192</v>
      </c>
      <c r="C104" s="7"/>
      <c r="D104" s="7"/>
      <c r="E104" s="7"/>
      <c r="F104" s="7"/>
      <c r="G104" s="6"/>
      <c r="H104" s="14"/>
      <c r="I104" s="7"/>
      <c r="J104" s="7"/>
      <c r="K104" s="8">
        <v>46183.999305555553</v>
      </c>
      <c r="L104" s="2" t="s">
        <v>67</v>
      </c>
    </row>
    <row r="105" spans="1:12" ht="18" customHeight="1" x14ac:dyDescent="0.3">
      <c r="A105" s="2" t="s">
        <v>209</v>
      </c>
      <c r="B105" s="13" t="s">
        <v>194</v>
      </c>
      <c r="C105" s="7"/>
      <c r="D105" s="7"/>
      <c r="E105" s="7"/>
      <c r="F105" s="7"/>
      <c r="G105" s="6"/>
      <c r="H105" s="14"/>
      <c r="I105" s="7"/>
      <c r="J105" s="7"/>
      <c r="K105" s="8">
        <v>46183.999305555553</v>
      </c>
      <c r="L105" s="2" t="s">
        <v>67</v>
      </c>
    </row>
    <row r="106" spans="1:12" ht="18" customHeight="1" x14ac:dyDescent="0.3">
      <c r="A106" s="2" t="s">
        <v>210</v>
      </c>
      <c r="B106" s="13" t="s">
        <v>196</v>
      </c>
      <c r="C106" s="7"/>
      <c r="D106" s="7"/>
      <c r="E106" s="7"/>
      <c r="F106" s="7"/>
      <c r="G106" s="6"/>
      <c r="H106" s="14"/>
      <c r="I106" s="7"/>
      <c r="J106" s="7"/>
      <c r="K106" s="8">
        <v>46183.999305555553</v>
      </c>
      <c r="L106" s="2" t="s">
        <v>67</v>
      </c>
    </row>
    <row r="107" spans="1:12" ht="16.05" customHeight="1" x14ac:dyDescent="0.3">
      <c r="A107" s="20" t="s">
        <v>211</v>
      </c>
      <c r="B107" s="18"/>
      <c r="C107" s="18"/>
      <c r="D107" s="18"/>
      <c r="E107" s="18"/>
      <c r="F107" s="18"/>
      <c r="G107" s="11"/>
      <c r="H107" s="11"/>
      <c r="I107" s="11"/>
      <c r="J107" s="11"/>
      <c r="K107" s="11"/>
      <c r="L107" s="15" t="str">
        <f>IF(COUNTA($G$95:$G$106)&gt;8,"⚠️ ERRO: Máx 8 (atual: "&amp;COUNTA($G$95:$G$106)&amp;")","✓ "&amp;COUNTA($G$95:$G$106)&amp;"/8 grupos")</f>
        <v>✓ 8/8 grupos</v>
      </c>
    </row>
    <row r="108" spans="1:12" ht="15" customHeight="1" x14ac:dyDescent="0.3">
      <c r="A108" s="17" t="s">
        <v>212</v>
      </c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</row>
    <row r="109" spans="1:12" ht="18" customHeight="1" x14ac:dyDescent="0.3">
      <c r="A109" s="2" t="s">
        <v>213</v>
      </c>
      <c r="B109" s="16" t="s">
        <v>214</v>
      </c>
      <c r="C109" s="7"/>
      <c r="D109" s="7"/>
      <c r="E109" s="7"/>
      <c r="F109" s="7" t="s">
        <v>9</v>
      </c>
      <c r="G109" s="6" t="s">
        <v>9</v>
      </c>
      <c r="H109" s="14"/>
      <c r="I109" s="7"/>
      <c r="J109" s="7"/>
      <c r="K109" s="8">
        <v>46183.999305555553</v>
      </c>
      <c r="L109" s="2" t="s">
        <v>67</v>
      </c>
    </row>
    <row r="110" spans="1:12" ht="18" customHeight="1" x14ac:dyDescent="0.3">
      <c r="A110" s="2" t="s">
        <v>215</v>
      </c>
      <c r="B110" s="16" t="s">
        <v>216</v>
      </c>
      <c r="C110" s="7"/>
      <c r="D110" s="7"/>
      <c r="E110" s="7"/>
      <c r="F110" s="7" t="s">
        <v>8</v>
      </c>
      <c r="G110" s="6" t="s">
        <v>8</v>
      </c>
      <c r="H110" s="14"/>
      <c r="I110" s="7"/>
      <c r="J110" s="7"/>
      <c r="K110" s="8">
        <v>46183.999305555553</v>
      </c>
      <c r="L110" s="2" t="s">
        <v>67</v>
      </c>
    </row>
    <row r="111" spans="1:12" ht="18" customHeight="1" x14ac:dyDescent="0.3">
      <c r="A111" s="2" t="s">
        <v>217</v>
      </c>
      <c r="B111" s="16" t="s">
        <v>198</v>
      </c>
      <c r="C111" s="7"/>
      <c r="D111" s="7"/>
      <c r="E111" s="7"/>
      <c r="F111" s="7" t="s">
        <v>7</v>
      </c>
      <c r="G111" s="6" t="s">
        <v>7</v>
      </c>
      <c r="H111" s="14"/>
      <c r="I111" s="7"/>
      <c r="J111" s="7"/>
      <c r="K111" s="8">
        <v>46183.999305555553</v>
      </c>
      <c r="L111" s="2" t="s">
        <v>67</v>
      </c>
    </row>
    <row r="112" spans="1:12" ht="18" customHeight="1" x14ac:dyDescent="0.3">
      <c r="A112" s="2" t="s">
        <v>218</v>
      </c>
      <c r="B112" s="16" t="s">
        <v>219</v>
      </c>
      <c r="C112" s="7"/>
      <c r="D112" s="7"/>
      <c r="E112" s="7"/>
      <c r="F112" s="7" t="s">
        <v>5</v>
      </c>
      <c r="G112" s="6" t="s">
        <v>5</v>
      </c>
      <c r="H112" s="14"/>
      <c r="I112" s="7"/>
      <c r="J112" s="7"/>
      <c r="K112" s="8">
        <v>46183.999305555553</v>
      </c>
      <c r="L112" s="2" t="s">
        <v>67</v>
      </c>
    </row>
    <row r="113" spans="1:12" ht="15" customHeight="1" x14ac:dyDescent="0.3">
      <c r="A113" s="17" t="s">
        <v>220</v>
      </c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</row>
    <row r="114" spans="1:12" ht="18" customHeight="1" x14ac:dyDescent="0.3">
      <c r="A114" s="2" t="s">
        <v>221</v>
      </c>
      <c r="B114" s="16" t="s">
        <v>222</v>
      </c>
      <c r="C114" s="7"/>
      <c r="D114" s="7"/>
      <c r="E114" s="7"/>
      <c r="F114" s="7" t="s">
        <v>223</v>
      </c>
      <c r="G114" s="6" t="s">
        <v>223</v>
      </c>
      <c r="H114" s="14"/>
      <c r="I114" s="7"/>
      <c r="J114" s="7"/>
      <c r="K114" s="8">
        <v>46183.999305555553</v>
      </c>
      <c r="L114" s="2" t="s">
        <v>67</v>
      </c>
    </row>
  </sheetData>
  <sheetProtection algorithmName="SHA-512" hashValue="Lp/vsCJX0oO8e1a1aG1xoSAhC/bJVCx8+A9ugkyD9WhDLHcX7Qvcda6AQ2At6v5pjzorJva8+lrzk8nYZTaFEA==" saltValue="MTpk6h/OrwOae/SXI+ETpQ==" spinCount="100000" sheet="1"/>
  <mergeCells count="10">
    <mergeCell ref="A1:L1"/>
    <mergeCell ref="A93:L93"/>
    <mergeCell ref="A79:L79"/>
    <mergeCell ref="A4:L4"/>
    <mergeCell ref="A113:L113"/>
    <mergeCell ref="A2:L2"/>
    <mergeCell ref="A107:F107"/>
    <mergeCell ref="A29:L29"/>
    <mergeCell ref="A54:L54"/>
    <mergeCell ref="A108:L108"/>
  </mergeCells>
  <conditionalFormatting sqref="G95:G106">
    <cfRule type="expression" dxfId="14" priority="13">
      <formula>COUNTA($G$95:$G$106)&gt;8</formula>
    </cfRule>
    <cfRule type="expression" dxfId="13" priority="13">
      <formula>AND(G95&lt;&gt;"", COUNTIF($G$95:$G$106, G95)&gt;1)</formula>
    </cfRule>
  </conditionalFormatting>
  <conditionalFormatting sqref="G109:G112">
    <cfRule type="expression" dxfId="12" priority="14">
      <formula>AND(G109&lt;&gt;"", COUNTIF($G$109:$G$112, G109)&gt;1)</formula>
    </cfRule>
  </conditionalFormatting>
  <conditionalFormatting sqref="G81:H81">
    <cfRule type="expression" dxfId="11" priority="1">
      <formula>AND($G$81&lt;&gt;"", $G$81=$H$81)</formula>
    </cfRule>
  </conditionalFormatting>
  <conditionalFormatting sqref="G82:H82">
    <cfRule type="expression" dxfId="10" priority="2">
      <formula>AND($G$82&lt;&gt;"", $G$82=$H$82)</formula>
    </cfRule>
  </conditionalFormatting>
  <conditionalFormatting sqref="G83:H83">
    <cfRule type="expression" dxfId="9" priority="3">
      <formula>AND($G$83&lt;&gt;"", $G$83=$H$83)</formula>
    </cfRule>
  </conditionalFormatting>
  <conditionalFormatting sqref="G84:H84">
    <cfRule type="expression" dxfId="8" priority="4">
      <formula>AND($G$84&lt;&gt;"", $G$84=$H$84)</formula>
    </cfRule>
  </conditionalFormatting>
  <conditionalFormatting sqref="G85:H85">
    <cfRule type="expression" dxfId="7" priority="5">
      <formula>AND($G$85&lt;&gt;"", $G$85=$H$85)</formula>
    </cfRule>
  </conditionalFormatting>
  <conditionalFormatting sqref="G86:H86">
    <cfRule type="expression" dxfId="6" priority="6">
      <formula>AND($G$86&lt;&gt;"", $G$86=$H$86)</formula>
    </cfRule>
  </conditionalFormatting>
  <conditionalFormatting sqref="G87:H87">
    <cfRule type="expression" dxfId="5" priority="7">
      <formula>AND($G$87&lt;&gt;"", $G$87=$H$87)</formula>
    </cfRule>
  </conditionalFormatting>
  <conditionalFormatting sqref="G88:H88">
    <cfRule type="expression" dxfId="4" priority="8">
      <formula>AND($G$88&lt;&gt;"", $G$88=$H$88)</formula>
    </cfRule>
  </conditionalFormatting>
  <conditionalFormatting sqref="G89:H89">
    <cfRule type="expression" dxfId="3" priority="9">
      <formula>AND($G$89&lt;&gt;"", $G$89=$H$89)</formula>
    </cfRule>
  </conditionalFormatting>
  <conditionalFormatting sqref="G90:H90">
    <cfRule type="expression" dxfId="2" priority="10">
      <formula>AND($G$90&lt;&gt;"", $G$90=$H$90)</formula>
    </cfRule>
  </conditionalFormatting>
  <conditionalFormatting sqref="G91:H91">
    <cfRule type="expression" dxfId="1" priority="11">
      <formula>AND($G$91&lt;&gt;"", $G$91=$H$91)</formula>
    </cfRule>
  </conditionalFormatting>
  <conditionalFormatting sqref="G92:H92">
    <cfRule type="expression" dxfId="0" priority="12">
      <formula>AND($G$92&lt;&gt;"", $G$92=$H$92)</formula>
    </cfRule>
  </conditionalFormatting>
  <dataValidations count="1">
    <dataValidation type="whole" showErrorMessage="1" errorTitle="Valor inválido" error="Digite um número inteiro entre 0 e 30." sqref="G55:H78 G5:H28 G30:H53" xr:uid="{00000000-0002-0000-0100-000000000000}">
      <formula1>0</formula1>
      <formula2>30</formula2>
    </dataValidation>
  </dataValidation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ErrorMessage="1" errorTitle="Seleção inválida" error="Escolha uma seleção oficial da lista. Entradas manuais não são aceitas." xr:uid="{00000000-0002-0000-0100-000001000000}">
          <x14:formula1>
            <xm:f>_Times!$G$1:$G$4</xm:f>
          </x14:formula1>
          <xm:sqref>G100 G86:H86</xm:sqref>
        </x14:dataValidation>
        <x14:dataValidation type="list" allowBlank="1" showErrorMessage="1" errorTitle="Seleção inválida" error="Escolha uma seleção oficial da lista. Entradas manuais não são aceitas." xr:uid="{00000000-0002-0000-0100-000002000000}">
          <x14:formula1>
            <xm:f>_Times!$H$1:$H$4</xm:f>
          </x14:formula1>
          <xm:sqref>G101 G87:H87</xm:sqref>
        </x14:dataValidation>
        <x14:dataValidation type="list" allowBlank="1" showErrorMessage="1" errorTitle="Seleção inválida" error="Escolha uma seleção oficial da lista. Entradas manuais não são aceitas." xr:uid="{00000000-0002-0000-0100-000003000000}">
          <x14:formula1>
            <xm:f>_Times!$I$1:$I$4</xm:f>
          </x14:formula1>
          <xm:sqref>G102 G88:H88</xm:sqref>
        </x14:dataValidation>
        <x14:dataValidation type="list" allowBlank="1" showErrorMessage="1" errorTitle="Seleção inválida" error="Escolha uma seleção oficial da lista. Entradas manuais não são aceitas." xr:uid="{00000000-0002-0000-0100-000004000000}">
          <x14:formula1>
            <xm:f>_Times!$J$1:$J$4</xm:f>
          </x14:formula1>
          <xm:sqref>G103 G89:H89</xm:sqref>
        </x14:dataValidation>
        <x14:dataValidation type="list" allowBlank="1" showErrorMessage="1" errorTitle="Seleção inválida" error="Escolha uma seleção oficial da lista. Entradas manuais não são aceitas." xr:uid="{00000000-0002-0000-0100-000005000000}">
          <x14:formula1>
            <xm:f>_Times!$K$1:$K$4</xm:f>
          </x14:formula1>
          <xm:sqref>G104 G90:H90</xm:sqref>
        </x14:dataValidation>
        <x14:dataValidation type="list" allowBlank="1" showErrorMessage="1" errorTitle="Seleção inválida" error="Escolha uma seleção oficial da lista. Entradas manuais não são aceitas." xr:uid="{00000000-0002-0000-0100-000006000000}">
          <x14:formula1>
            <xm:f>_Times!$L$1:$L$4</xm:f>
          </x14:formula1>
          <xm:sqref>G105 G91:H91</xm:sqref>
        </x14:dataValidation>
        <x14:dataValidation type="list" allowBlank="1" showErrorMessage="1" errorTitle="Seleção inválida" error="Escolha uma seleção oficial da lista. Entradas manuais não são aceitas." xr:uid="{00000000-0002-0000-0100-000007000000}">
          <x14:formula1>
            <xm:f>_Times!$M$1:$M$4</xm:f>
          </x14:formula1>
          <xm:sqref>G106 G92:H92</xm:sqref>
        </x14:dataValidation>
        <x14:dataValidation type="list" allowBlank="1" showErrorMessage="1" errorTitle="Seleção inválida" error="Escolha uma seleção oficial da lista. Entradas manuais não são aceitas." xr:uid="{00000000-0002-0000-0100-000008000000}">
          <x14:formula1>
            <xm:f>_Times!$A$1:$A$48</xm:f>
          </x14:formula1>
          <xm:sqref>G109:G112</xm:sqref>
        </x14:dataValidation>
        <x14:dataValidation type="list" allowBlank="1" showErrorMessage="1" errorTitle="Seleção inválida" error="Escolha uma seleção oficial da lista. Entradas manuais não são aceitas." xr:uid="{00000000-0002-0000-0100-00000C000000}">
          <x14:formula1>
            <xm:f>_Times!$B$1:$B$4</xm:f>
          </x14:formula1>
          <xm:sqref>G81:H81 G95</xm:sqref>
        </x14:dataValidation>
        <x14:dataValidation type="list" allowBlank="1" showErrorMessage="1" errorTitle="Seleção inválida" error="Escolha uma seleção oficial da lista. Entradas manuais não são aceitas." xr:uid="{00000000-0002-0000-0100-00000D000000}">
          <x14:formula1>
            <xm:f>_Times!$C$1:$C$4</xm:f>
          </x14:formula1>
          <xm:sqref>G82:H82 G96</xm:sqref>
        </x14:dataValidation>
        <x14:dataValidation type="list" allowBlank="1" showErrorMessage="1" errorTitle="Seleção inválida" error="Escolha uma seleção oficial da lista. Entradas manuais não são aceitas." xr:uid="{00000000-0002-0000-0100-00000E000000}">
          <x14:formula1>
            <xm:f>_Times!$D$1:$D$4</xm:f>
          </x14:formula1>
          <xm:sqref>G83:H83 G97</xm:sqref>
        </x14:dataValidation>
        <x14:dataValidation type="list" allowBlank="1" showErrorMessage="1" errorTitle="Seleção inválida" error="Escolha uma seleção oficial da lista. Entradas manuais não são aceitas." xr:uid="{00000000-0002-0000-0100-00000F000000}">
          <x14:formula1>
            <xm:f>_Times!$E$1:$E$4</xm:f>
          </x14:formula1>
          <xm:sqref>G84:H84 G98</xm:sqref>
        </x14:dataValidation>
        <x14:dataValidation type="list" allowBlank="1" showErrorMessage="1" errorTitle="Seleção inválida" error="Escolha uma seleção oficial da lista. Entradas manuais não são aceitas." xr:uid="{00000000-0002-0000-0100-000010000000}">
          <x14:formula1>
            <xm:f>_Times!$F$1:$F$4</xm:f>
          </x14:formula1>
          <xm:sqref>G85:H85 G99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Palpites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Melhor Bolão</dc:creator>
  <cp:lastModifiedBy>Gustavo Mousinho</cp:lastModifiedBy>
  <dcterms:created xsi:type="dcterms:W3CDTF">2026-05-26T00:04:13Z</dcterms:created>
  <dcterms:modified xsi:type="dcterms:W3CDTF">2026-05-26T00:19:10Z</dcterms:modified>
</cp:coreProperties>
</file>